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xyzendigital-my.sharepoint.com/personal/rabi_oxyzen_digital/Documents/ODI PRACTICE/_References/XYZ Client Name/01 Project Name/BIM/_References/"/>
    </mc:Choice>
  </mc:AlternateContent>
  <xr:revisionPtr revIDLastSave="799" documentId="8_{9EA3E4CB-D795-4616-B740-BD755FC41454}" xr6:coauthVersionLast="47" xr6:coauthVersionMax="47" xr10:uidLastSave="{627E8125-3CDA-4565-9E53-5435FA4118BB}"/>
  <bookViews>
    <workbookView xWindow="-110" yWindow="-110" windowWidth="38620" windowHeight="21100" xr2:uid="{CDCF463B-0FE6-4766-99CF-D4D6B432007A}"/>
  </bookViews>
  <sheets>
    <sheet name="Sheet Names and Numbers" sheetId="1" r:id="rId1"/>
    <sheet name="Discipline Designators" sheetId="2" r:id="rId2"/>
    <sheet name="Sheet Types" sheetId="3" r:id="rId3"/>
    <sheet name="Sequence Numbers" sheetId="4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B62" i="1"/>
  <c r="D62" i="1"/>
  <c r="E62" i="1"/>
  <c r="L62" i="1"/>
  <c r="B61" i="1"/>
  <c r="D61" i="1"/>
  <c r="E61" i="1"/>
  <c r="L61" i="1"/>
  <c r="B60" i="1"/>
  <c r="D60" i="1"/>
  <c r="E60" i="1"/>
  <c r="L60" i="1"/>
  <c r="B59" i="1"/>
  <c r="D59" i="1"/>
  <c r="E59" i="1"/>
  <c r="L59" i="1"/>
  <c r="B58" i="1"/>
  <c r="D58" i="1"/>
  <c r="E58" i="1"/>
  <c r="L58" i="1"/>
  <c r="B57" i="1"/>
  <c r="D57" i="1"/>
  <c r="E57" i="1"/>
  <c r="L57" i="1"/>
  <c r="B56" i="1"/>
  <c r="D56" i="1"/>
  <c r="E56" i="1"/>
  <c r="L56" i="1"/>
  <c r="B55" i="1"/>
  <c r="D55" i="1"/>
  <c r="E55" i="1"/>
  <c r="L55" i="1"/>
  <c r="B54" i="1"/>
  <c r="D54" i="1"/>
  <c r="E54" i="1"/>
  <c r="L54" i="1"/>
  <c r="B53" i="1"/>
  <c r="D53" i="1"/>
  <c r="E53" i="1"/>
  <c r="L53" i="1"/>
  <c r="B52" i="1"/>
  <c r="D52" i="1"/>
  <c r="E52" i="1"/>
  <c r="L52" i="1"/>
  <c r="B51" i="1"/>
  <c r="D51" i="1"/>
  <c r="E51" i="1"/>
  <c r="L51" i="1"/>
  <c r="B50" i="1"/>
  <c r="D50" i="1"/>
  <c r="E50" i="1"/>
  <c r="L50" i="1"/>
  <c r="B49" i="1"/>
  <c r="D49" i="1"/>
  <c r="E49" i="1"/>
  <c r="L49" i="1"/>
  <c r="B48" i="1"/>
  <c r="D48" i="1"/>
  <c r="E48" i="1"/>
  <c r="L48" i="1"/>
  <c r="B47" i="1"/>
  <c r="D47" i="1"/>
  <c r="E47" i="1"/>
  <c r="L47" i="1"/>
  <c r="B46" i="1"/>
  <c r="D46" i="1"/>
  <c r="E46" i="1"/>
  <c r="L46" i="1"/>
  <c r="B45" i="1"/>
  <c r="D45" i="1"/>
  <c r="E45" i="1"/>
  <c r="L45" i="1"/>
  <c r="B44" i="1"/>
  <c r="D44" i="1"/>
  <c r="E44" i="1"/>
  <c r="L44" i="1"/>
  <c r="B43" i="1"/>
  <c r="D43" i="1"/>
  <c r="E43" i="1"/>
  <c r="L43" i="1"/>
  <c r="B42" i="1"/>
  <c r="D42" i="1"/>
  <c r="E42" i="1"/>
  <c r="L42" i="1"/>
  <c r="B41" i="1"/>
  <c r="D41" i="1"/>
  <c r="E41" i="1"/>
  <c r="L41" i="1"/>
  <c r="B40" i="1"/>
  <c r="D40" i="1"/>
  <c r="E40" i="1"/>
  <c r="L40" i="1"/>
  <c r="B39" i="1"/>
  <c r="D39" i="1"/>
  <c r="E39" i="1"/>
  <c r="L39" i="1"/>
  <c r="B38" i="1"/>
  <c r="D38" i="1"/>
  <c r="E38" i="1"/>
  <c r="L38" i="1"/>
  <c r="B12" i="1"/>
  <c r="D12" i="1"/>
  <c r="E12" i="1"/>
  <c r="L12" i="1"/>
  <c r="B37" i="1"/>
  <c r="D37" i="1"/>
  <c r="E37" i="1"/>
  <c r="L37" i="1"/>
  <c r="B36" i="1"/>
  <c r="D36" i="1"/>
  <c r="E36" i="1"/>
  <c r="L36" i="1"/>
  <c r="B35" i="1"/>
  <c r="D35" i="1"/>
  <c r="E35" i="1"/>
  <c r="L35" i="1"/>
  <c r="B34" i="1"/>
  <c r="D34" i="1"/>
  <c r="E34" i="1"/>
  <c r="L34" i="1"/>
  <c r="B33" i="1"/>
  <c r="D33" i="1"/>
  <c r="E33" i="1"/>
  <c r="L33" i="1"/>
  <c r="B26" i="1"/>
  <c r="D26" i="1"/>
  <c r="E26" i="1"/>
  <c r="L26" i="1"/>
  <c r="B25" i="1"/>
  <c r="D25" i="1"/>
  <c r="E25" i="1"/>
  <c r="L25" i="1"/>
  <c r="B24" i="1"/>
  <c r="D24" i="1"/>
  <c r="E24" i="1"/>
  <c r="B22" i="1"/>
  <c r="D22" i="1"/>
  <c r="E22" i="1"/>
  <c r="L22" i="1"/>
  <c r="B21" i="1"/>
  <c r="D21" i="1"/>
  <c r="E21" i="1"/>
  <c r="L21" i="1"/>
  <c r="B23" i="1"/>
  <c r="D23" i="1"/>
  <c r="E23" i="1"/>
  <c r="L23" i="1"/>
  <c r="B19" i="1"/>
  <c r="D19" i="1"/>
  <c r="E19" i="1"/>
  <c r="L19" i="1"/>
  <c r="B18" i="1"/>
  <c r="D18" i="1"/>
  <c r="E18" i="1"/>
  <c r="L18" i="1"/>
  <c r="B32" i="1"/>
  <c r="D32" i="1"/>
  <c r="E32" i="1"/>
  <c r="L32" i="1"/>
  <c r="B31" i="1"/>
  <c r="D31" i="1"/>
  <c r="E31" i="1"/>
  <c r="L31" i="1"/>
  <c r="B29" i="1"/>
  <c r="D29" i="1"/>
  <c r="E29" i="1"/>
  <c r="L29" i="1"/>
  <c r="B30" i="1"/>
  <c r="D30" i="1"/>
  <c r="E30" i="1"/>
  <c r="L30" i="1"/>
  <c r="B28" i="1"/>
  <c r="D28" i="1"/>
  <c r="E28" i="1"/>
  <c r="L28" i="1"/>
  <c r="B27" i="1"/>
  <c r="D27" i="1"/>
  <c r="E27" i="1"/>
  <c r="L27" i="1"/>
  <c r="B20" i="1"/>
  <c r="D20" i="1"/>
  <c r="E20" i="1"/>
  <c r="L20" i="1"/>
  <c r="B17" i="1"/>
  <c r="D17" i="1"/>
  <c r="E17" i="1"/>
  <c r="L17" i="1"/>
  <c r="B16" i="1"/>
  <c r="D16" i="1"/>
  <c r="E16" i="1"/>
  <c r="L16" i="1"/>
  <c r="B15" i="1"/>
  <c r="D15" i="1"/>
  <c r="E15" i="1"/>
  <c r="L15" i="1"/>
  <c r="B14" i="1"/>
  <c r="D14" i="1"/>
  <c r="E14" i="1"/>
  <c r="L14" i="1"/>
  <c r="B13" i="1"/>
  <c r="D13" i="1"/>
  <c r="E13" i="1"/>
  <c r="L13" i="1"/>
  <c r="B11" i="1"/>
  <c r="D11" i="1"/>
  <c r="E11" i="1"/>
  <c r="B8" i="1"/>
  <c r="D8" i="1"/>
  <c r="E8" i="1"/>
  <c r="B7" i="1"/>
  <c r="D7" i="1"/>
  <c r="E7" i="1"/>
  <c r="L7" i="1"/>
  <c r="B9" i="1"/>
  <c r="D9" i="1"/>
  <c r="E9" i="1"/>
  <c r="D2" i="1"/>
  <c r="D3" i="1"/>
  <c r="D5" i="1"/>
  <c r="D6" i="1"/>
  <c r="D10" i="1"/>
  <c r="B4" i="1"/>
  <c r="E4" i="1"/>
  <c r="L4" i="1"/>
  <c r="B10" i="1"/>
  <c r="E10" i="1"/>
  <c r="L10" i="1"/>
  <c r="E2" i="1"/>
  <c r="L2" i="1"/>
  <c r="M2" i="1"/>
  <c r="E3" i="1"/>
  <c r="L3" i="1"/>
  <c r="E5" i="1"/>
  <c r="L5" i="1"/>
  <c r="E6" i="1"/>
  <c r="L6" i="1"/>
  <c r="B2" i="1"/>
  <c r="B3" i="1"/>
  <c r="B5" i="1"/>
  <c r="B6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1" i="1"/>
  <c r="A48" i="1"/>
  <c r="A47" i="1"/>
  <c r="A46" i="1"/>
  <c r="A45" i="1"/>
  <c r="A44" i="1"/>
  <c r="A43" i="1"/>
  <c r="A42" i="1"/>
  <c r="A40" i="1"/>
  <c r="A39" i="1"/>
  <c r="A38" i="1"/>
  <c r="A37" i="1"/>
  <c r="A12" i="1"/>
  <c r="A26" i="1"/>
  <c r="A36" i="1"/>
  <c r="A35" i="1"/>
  <c r="A34" i="1"/>
  <c r="A33" i="1"/>
  <c r="A25" i="1"/>
  <c r="A22" i="1"/>
  <c r="A24" i="1"/>
  <c r="L24" i="1"/>
  <c r="A21" i="1"/>
  <c r="A23" i="1"/>
  <c r="A29" i="1"/>
  <c r="A19" i="1"/>
  <c r="A18" i="1"/>
  <c r="A32" i="1"/>
  <c r="A31" i="1"/>
  <c r="A30" i="1"/>
  <c r="A28" i="1"/>
  <c r="A27" i="1"/>
  <c r="A20" i="1"/>
  <c r="A17" i="1"/>
  <c r="A16" i="1"/>
  <c r="A15" i="1"/>
  <c r="A14" i="1"/>
  <c r="A13" i="1"/>
  <c r="A11" i="1"/>
  <c r="L11" i="1"/>
  <c r="L8" i="1"/>
  <c r="A8" i="1"/>
  <c r="A7" i="1"/>
  <c r="A9" i="1"/>
  <c r="L9" i="1"/>
  <c r="A4" i="1"/>
  <c r="A10" i="1"/>
  <c r="A2" i="1"/>
  <c r="A3" i="1"/>
  <c r="A6" i="1"/>
  <c r="A5" i="1"/>
</calcChain>
</file>

<file path=xl/sharedStrings.xml><?xml version="1.0" encoding="utf-8"?>
<sst xmlns="http://schemas.openxmlformats.org/spreadsheetml/2006/main" count="351" uniqueCount="153">
  <si>
    <t>CS</t>
  </si>
  <si>
    <t>COVER SHEET</t>
  </si>
  <si>
    <t>G</t>
  </si>
  <si>
    <t>GENERAL</t>
  </si>
  <si>
    <t>H</t>
  </si>
  <si>
    <t>HAZARDOUS MATERIALS</t>
  </si>
  <si>
    <t>V</t>
  </si>
  <si>
    <t>SURVEY</t>
  </si>
  <si>
    <t>B</t>
  </si>
  <si>
    <t>GEOTECHNICAL</t>
  </si>
  <si>
    <t>C</t>
  </si>
  <si>
    <t>CIVIL</t>
  </si>
  <si>
    <t>L</t>
  </si>
  <si>
    <t>LANDSCAPE</t>
  </si>
  <si>
    <t>S</t>
  </si>
  <si>
    <t>STRUCTURAL</t>
  </si>
  <si>
    <t>A</t>
  </si>
  <si>
    <t>ARCHITECTURAL</t>
  </si>
  <si>
    <t>I</t>
  </si>
  <si>
    <t>INTERIORS</t>
  </si>
  <si>
    <t>Q</t>
  </si>
  <si>
    <t>EQUIPMENT</t>
  </si>
  <si>
    <t>F</t>
  </si>
  <si>
    <t>FIRE PROTECTION</t>
  </si>
  <si>
    <t>P</t>
  </si>
  <si>
    <t>PLUMBING</t>
  </si>
  <si>
    <t>D</t>
  </si>
  <si>
    <t>PROCESS</t>
  </si>
  <si>
    <t>M</t>
  </si>
  <si>
    <t>MECHANICAL</t>
  </si>
  <si>
    <t>E</t>
  </si>
  <si>
    <t>ELECTRICAL</t>
  </si>
  <si>
    <t>W</t>
  </si>
  <si>
    <t>DISTRIBUTED ENERGY</t>
  </si>
  <si>
    <t>T</t>
  </si>
  <si>
    <t>TELECOMMUNICATIONS</t>
  </si>
  <si>
    <t>R</t>
  </si>
  <si>
    <t>RESOURCE</t>
  </si>
  <si>
    <t>X</t>
  </si>
  <si>
    <t>OTHER DISCIPLINES</t>
  </si>
  <si>
    <t>Z</t>
  </si>
  <si>
    <t>CONTRACTOR SHOP DRAWINGS</t>
  </si>
  <si>
    <t>O</t>
  </si>
  <si>
    <t>OPERATIONS</t>
  </si>
  <si>
    <t>SHEET LIST, SYMBOLS, CODE SUMMARY, ETC</t>
  </si>
  <si>
    <t>ABATEMENT, HANDLING, ETC</t>
  </si>
  <si>
    <t>EXISTING CONDITIONS, BUILDINGS</t>
  </si>
  <si>
    <t>DESIGNATOR</t>
  </si>
  <si>
    <t>NAME</t>
  </si>
  <si>
    <t>DESCRIPTION</t>
  </si>
  <si>
    <t>PLANS</t>
  </si>
  <si>
    <t>ELEVATIONS</t>
  </si>
  <si>
    <t>SECTIONS</t>
  </si>
  <si>
    <t>ENLARGED PLANS, ELEVATIONS, SECTIONS</t>
  </si>
  <si>
    <t>DETAILS</t>
  </si>
  <si>
    <t>SCHEDULES AND DIAGRAMS</t>
  </si>
  <si>
    <t>USER DEFINED</t>
  </si>
  <si>
    <t>ISOMETRIC, PERSPECTIVE VIEWS, PHOTOGRAPHS ETC</t>
  </si>
  <si>
    <t>FIRST SHEET</t>
  </si>
  <si>
    <t>SECOND SHEET</t>
  </si>
  <si>
    <t>THIRD SHEET</t>
  </si>
  <si>
    <t>FOURTH SHEET</t>
  </si>
  <si>
    <t>FIFTH SHEET</t>
  </si>
  <si>
    <t>SIXTH SHEET</t>
  </si>
  <si>
    <t>SEVENTH SHEET</t>
  </si>
  <si>
    <t>EIGHTH SHEET</t>
  </si>
  <si>
    <t>NINTH SHEET</t>
  </si>
  <si>
    <t>TENTH SHEET</t>
  </si>
  <si>
    <t>SHEET NUMBER</t>
  </si>
  <si>
    <t>SHEET NAME</t>
  </si>
  <si>
    <t>ARCHITECTURAL DEMOLITION</t>
  </si>
  <si>
    <t>AD</t>
  </si>
  <si>
    <t>FA</t>
  </si>
  <si>
    <t>FIRE ALARM</t>
  </si>
  <si>
    <t>MH</t>
  </si>
  <si>
    <t>HVAC</t>
  </si>
  <si>
    <t>MP</t>
  </si>
  <si>
    <t>HVAC PIPING</t>
  </si>
  <si>
    <t>EL</t>
  </si>
  <si>
    <t>ELECTRICAL LIGHTING</t>
  </si>
  <si>
    <t>EP</t>
  </si>
  <si>
    <t>ELECTRICAL POWER</t>
  </si>
  <si>
    <t>RA</t>
  </si>
  <si>
    <t>RS</t>
  </si>
  <si>
    <t>RP</t>
  </si>
  <si>
    <t>EXISTING ARCHITECTURAL</t>
  </si>
  <si>
    <t>EXISTING STRUCTURAL</t>
  </si>
  <si>
    <t>EXISTING PLUMBING</t>
  </si>
  <si>
    <t>RM</t>
  </si>
  <si>
    <t>EXISTING MECHANICAL</t>
  </si>
  <si>
    <t>AF</t>
  </si>
  <si>
    <t>ARCHITECTURAL FINISHES</t>
  </si>
  <si>
    <t>AG</t>
  </si>
  <si>
    <t>ARCHITECTURAL GRAPHICS</t>
  </si>
  <si>
    <t>AI</t>
  </si>
  <si>
    <t>ARCHITECTURAL INTERIORS</t>
  </si>
  <si>
    <t>SEPARATOR</t>
  </si>
  <si>
    <t>SHEET TYPE</t>
  </si>
  <si>
    <t>SEQUENCE NUMBER</t>
  </si>
  <si>
    <t>SHEET NAME MODIFIER</t>
  </si>
  <si>
    <t>LEVEL</t>
  </si>
  <si>
    <t>-</t>
  </si>
  <si>
    <t>DISCIPLINE NAME LOOKUP</t>
  </si>
  <si>
    <t>SEPARATOR2</t>
  </si>
  <si>
    <t>ABBREVIATIONS, ADA, GENERAL NOTES, FIRE MARSHAL NOTES</t>
  </si>
  <si>
    <t>LIFE SAFETY PLAN</t>
  </si>
  <si>
    <t>DIMENSION PLAN - FLOOR</t>
  </si>
  <si>
    <t>SHEET TYPE LOOKUP</t>
  </si>
  <si>
    <t>SYMBOL LEGEND, ABBREVIATIONS, GENERAL NOTES, SPECIFICATIONS</t>
  </si>
  <si>
    <t>COVERSHEET</t>
  </si>
  <si>
    <t>TAS, ADA SPECIFICATIONS &amp; DETAILS</t>
  </si>
  <si>
    <t>Designator Code</t>
  </si>
  <si>
    <t>CODE</t>
  </si>
  <si>
    <t>CONSTRUCTION PLAN - FLOOR</t>
  </si>
  <si>
    <t>CONSTRUCTION PLAN - REFLECTED CEILING</t>
  </si>
  <si>
    <t>DIMENSION PLAN - REFLECTED CEILING</t>
  </si>
  <si>
    <t>DIMENSION PLAN - ROOF</t>
  </si>
  <si>
    <t>CONSTRUCTION PLAN - ROOF</t>
  </si>
  <si>
    <t>FINISH PLAN - FLOOR</t>
  </si>
  <si>
    <t>FINISH PLAN - REFLECTED CEILING PLAN</t>
  </si>
  <si>
    <t>DESIGN CRITERIA</t>
  </si>
  <si>
    <t>FRAMING PLAN - FLOOR</t>
  </si>
  <si>
    <t>FRAMING PLAN - ROOF</t>
  </si>
  <si>
    <t>CONSTRUCTION PLAN - GAS CANOPY</t>
  </si>
  <si>
    <t>FRAMING PLAN - CANOPY</t>
  </si>
  <si>
    <t>SECTION - CANOPY</t>
  </si>
  <si>
    <t>DETAILS - CANOPY FRAMING</t>
  </si>
  <si>
    <t>DETAILS - X BRACING DETAILS</t>
  </si>
  <si>
    <t>MECHANICAL PLAN - FLOOR</t>
  </si>
  <si>
    <t>MECHANICAL PLAN - ROOF</t>
  </si>
  <si>
    <t>DETAILS - MECHANICAL</t>
  </si>
  <si>
    <t>SCHEDULES - MECHANICAL</t>
  </si>
  <si>
    <t>SCHEDULES - EQUIPMENT</t>
  </si>
  <si>
    <t>SCHEDULES AND DETAILS - DOOR</t>
  </si>
  <si>
    <t>SCHEDULES AND DETAILS - WINDOW</t>
  </si>
  <si>
    <t>ELEVATIONS - EXTERIOR</t>
  </si>
  <si>
    <t>SECTIONS - BUILDING</t>
  </si>
  <si>
    <t>SECTIONS - WALL</t>
  </si>
  <si>
    <t>DETAILS - CONSTRUCTION</t>
  </si>
  <si>
    <t>ELEVATIONS - INTERIOR</t>
  </si>
  <si>
    <t>PLAN - EQUIPMENT</t>
  </si>
  <si>
    <t>CONSTRUCTION PLAN - FOUNDATIONS</t>
  </si>
  <si>
    <t>PLUMBING PLAN - DOMESTIC WATER - FLOOR</t>
  </si>
  <si>
    <t>PLUMBING PLAN - WASTE - FLOOR</t>
  </si>
  <si>
    <t>PLUMBING PLAN - ROOF</t>
  </si>
  <si>
    <t>PLUMBING PLAN - RISER</t>
  </si>
  <si>
    <t>DETAILS - PLUMBING</t>
  </si>
  <si>
    <t>ELECTRICAL DIAGRAM AND CALCULATIONS</t>
  </si>
  <si>
    <t>ELECTRICAL PLAN - LIGHTING</t>
  </si>
  <si>
    <t>ELECTRICAL PLAN - POWER</t>
  </si>
  <si>
    <t>ELECTRICAL PLAN - POWER - ROOF</t>
  </si>
  <si>
    <t>ELECTRICAL PLAN - SITE</t>
  </si>
  <si>
    <t>ELECTRICAL PANEL SCHEDULES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</si>
</sst>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1" applyFill="1" applyAlignment="1">
      <alignment wrapText="1"/>
    </xf>
    <xf numFmtId="0" fontId="1" fillId="0" borderId="0" xfId="2" applyFill="1" applyAlignment="1">
      <alignment wrapText="1"/>
    </xf>
    <xf numFmtId="0" fontId="1" fillId="0" borderId="0" xfId="3" applyFill="1" applyAlignment="1">
      <alignment wrapText="1"/>
    </xf>
    <xf numFmtId="0" fontId="0" fillId="0" borderId="0" xfId="0" applyAlignment="1">
      <alignment horizontal="center" wrapText="1"/>
    </xf>
    <xf numFmtId="0" fontId="0" fillId="0" borderId="0" xfId="3" applyFont="1" applyFill="1" applyAlignment="1">
      <alignment wrapText="1"/>
    </xf>
    <xf numFmtId="0" fontId="0" fillId="0" borderId="0" xfId="3" applyNumberFormat="1" applyFont="1" applyFill="1" applyAlignment="1">
      <alignment horizontal="center" wrapText="1"/>
    </xf>
    <xf numFmtId="0" fontId="1" fillId="0" borderId="0" xfId="1" applyFill="1" applyBorder="1" applyAlignment="1">
      <alignment wrapText="1"/>
    </xf>
    <xf numFmtId="0" fontId="1" fillId="0" borderId="0" xfId="2" applyFill="1" applyBorder="1" applyAlignment="1">
      <alignment horizontal="center" wrapText="1"/>
    </xf>
    <xf numFmtId="0" fontId="0" fillId="0" borderId="0" xfId="3" applyFont="1" applyFill="1" applyBorder="1" applyAlignment="1">
      <alignment wrapText="1"/>
    </xf>
    <xf numFmtId="0" fontId="0" fillId="0" borderId="0" xfId="3" applyNumberFormat="1" applyFont="1" applyFill="1" applyBorder="1" applyAlignment="1">
      <alignment horizontal="center" wrapText="1"/>
    </xf>
    <xf numFmtId="0" fontId="1" fillId="0" borderId="0" xfId="2" applyNumberFormat="1" applyFill="1" applyBorder="1" applyAlignment="1">
      <alignment horizontal="center" wrapText="1"/>
    </xf>
    <xf numFmtId="0" fontId="0" fillId="0" borderId="0" xfId="1" applyFont="1" applyFill="1" applyBorder="1" applyAlignment="1">
      <alignment wrapText="1"/>
    </xf>
    <xf numFmtId="0" fontId="1" fillId="0" borderId="0" xfId="2" applyNumberFormat="1" applyFill="1" applyAlignment="1">
      <alignment horizontal="center" wrapText="1"/>
    </xf>
    <xf numFmtId="0" fontId="1" fillId="0" borderId="0" xfId="3" applyFill="1" applyAlignment="1">
      <alignment horizontal="center" wrapText="1"/>
    </xf>
    <xf numFmtId="0" fontId="0" fillId="0" borderId="0" xfId="1" applyFont="1" applyFill="1" applyAlignment="1">
      <alignment wrapText="1"/>
    </xf>
    <xf numFmtId="0" fontId="3" fillId="0" borderId="0" xfId="0" applyFont="1" applyAlignment="1">
      <alignment textRotation="90" wrapText="1"/>
    </xf>
    <xf numFmtId="0" fontId="4" fillId="4" borderId="0" xfId="3" applyFont="1" applyBorder="1" applyAlignment="1">
      <alignment textRotation="90" wrapText="1"/>
    </xf>
    <xf numFmtId="0" fontId="4" fillId="3" borderId="0" xfId="2" applyFont="1" applyBorder="1" applyAlignment="1">
      <alignment textRotation="90" wrapText="1"/>
    </xf>
    <xf numFmtId="0" fontId="4" fillId="5" borderId="0" xfId="4" applyFont="1" applyBorder="1" applyAlignment="1">
      <alignment textRotation="90" wrapText="1"/>
    </xf>
  </cellXfs>
  <cellStyles count="5">
    <cellStyle name="40% - Accent6" xfId="4" builtinId="51"/>
    <cellStyle name="60% - Accent1" xfId="1" builtinId="32"/>
    <cellStyle name="60% - Accent3" xfId="2" builtinId="40"/>
    <cellStyle name="60% - Accent4" xfId="3" builtinId="44"/>
    <cellStyle name="Normal" xfId="0" builtinId="0"/>
  </cellStyles>
  <dxfs count="15">
    <dxf>
      <fill>
        <patternFill>
          <bgColor rgb="FFFFC7CE"/>
        </patternFill>
      </fill>
    </dxf>
    <dxf>
      <alignment horizontal="right" vertical="bottom" textRotation="0" wrapText="0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general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D38B10-04CD-43A5-9E88-6A82B058F498}" name="SHEETLIST" displayName="SHEETLIST" ref="A1:L62" totalsRowShown="0" headerRowDxfId="14" headerRowCellStyle="40% - Accent6">
  <autoFilter ref="A1:L62" xr:uid="{0DD38B10-04CD-43A5-9E88-6A82B058F4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473490DD-6585-4B48-9647-D0AC6D3A1436}" name="SHEET NUMBER" dataDxfId="13">
      <calculatedColumnFormula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calculatedColumnFormula>
    </tableColumn>
    <tableColumn id="2" xr3:uid="{F20CB1D8-82DC-40F6-9C6B-BE0AE84A4CBE}" name="SHEET NAME" dataDxfId="12">
      <calculatedColumnFormula>IF(ISBLANK(SHEETLIST[[#This Row],[SHEET NAME MODIFIER]]),SHEETLIST[[#This Row],[SHEET TYPE LOOKUP]],SHEETLIST[[#This Row],[SHEET NAME MODIFIER]])</calculatedColumnFormula>
    </tableColumn>
    <tableColumn id="3" xr3:uid="{B65CAEC8-AA17-47EC-82C8-8E837DFF439A}" name="DISCIPLINE NAME LOOKUP" dataDxfId="11" dataCellStyle="60% - Accent1"/>
    <tableColumn id="4" xr3:uid="{299116A3-4E79-412C-A441-0D242C45337E}" name="DESIGNATOR" dataDxfId="10" dataCellStyle="60% - Accent3">
      <calculatedColumnFormula>INDEX(DisciplineDesignators[],MATCH(SHEETLIST[[#This Row],[DISCIPLINE NAME LOOKUP]],DisciplineDesignators[NAME],0),2)</calculatedColumnFormula>
    </tableColumn>
    <tableColumn id="12" xr3:uid="{F21F6FBA-C399-439B-8ABB-4EE4ED51C93C}" name="SHEET TYPE" dataDxfId="9">
      <calculatedColumnFormula>INDEX(SheetTypes[],MATCH(SHEETLIST[[#This Row],[SHEET TYPE LOOKUP]],SheetTypes[NAME],0),1)</calculatedColumnFormula>
    </tableColumn>
    <tableColumn id="5" xr3:uid="{3F46C9A1-BE47-4579-A1B8-AF794A64F602}" name="SEPARATOR" dataDxfId="8"/>
    <tableColumn id="6" xr3:uid="{90F953AF-004D-4A13-AABD-75AE9932FF42}" name="SHEET TYPE LOOKUP" dataDxfId="7" dataCellStyle="60% - Accent1"/>
    <tableColumn id="7" xr3:uid="{66150B45-5B4E-43C9-8AB1-E7CE23527AC1}" name="SHEET NAME MODIFIER" dataDxfId="6" dataCellStyle="60% - Accent4"/>
    <tableColumn id="9" xr3:uid="{BCAFCE50-8D4C-4662-BAF2-33B5E124BEB8}" name="LEVEL" dataDxfId="5" dataCellStyle="60% - Accent4"/>
    <tableColumn id="10" xr3:uid="{B68C1B18-179B-4926-8241-35A3C867DD1A}" name="SEPARATOR2" dataDxfId="4" dataCellStyle="60% - Accent4"/>
    <tableColumn id="11" xr3:uid="{B4AFD94A-4EAF-486C-8085-C08DC8671C79}" name="SEQUENCE NUMBER" dataDxfId="3"/>
    <tableColumn id="13" xr3:uid="{CB40B81A-7190-4C9A-8B53-BEA99B8B4836}" name="Designator Code" dataDxfId="2">
      <calculatedColumnFormula>_xlfn.NUMBERVALUE(INDEX(DisciplineDesignators[],MATCH(SHEETLIST[[#This Row],[DISCIPLINE NAME LOOKUP]],DisciplineDesignators[NAME],0),1)+SHEETLIST[[#This Row],[SHEET TYPE]])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6B271-D8A5-4FBF-9ABE-C57AB795E2CB}" name="DisciplineDesignators" displayName="DisciplineDesignators" ref="A1:D37" totalsRowShown="0">
  <autoFilter ref="A1:D37" xr:uid="{9D76B271-D8A5-4FBF-9ABE-C57AB795E2CB}"/>
  <tableColumns count="4">
    <tableColumn id="4" xr3:uid="{F92029FF-6A05-4313-BBDC-0AF7464C635A}" name="CODE"/>
    <tableColumn id="1" xr3:uid="{9A3E8EDC-9549-44EC-8BD3-7BE4BA2AE45E}" name="DESIGNATOR" dataDxfId="1"/>
    <tableColumn id="2" xr3:uid="{B9F21451-7113-4C53-A66D-F4451326D4BA}" name="NAME"/>
    <tableColumn id="3" xr3:uid="{45985CC3-435E-472F-8237-62BD45CBB4EE}" name="DESCRIPTION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CFFF24-91D9-4936-B3F5-1CE2427C2495}" name="SheetTypes" displayName="SheetTypes" ref="A1:B12" totalsRowShown="0">
  <autoFilter ref="A1:B12" xr:uid="{A0CFFF24-91D9-4936-B3F5-1CE2427C2495}"/>
  <tableColumns count="2">
    <tableColumn id="1" xr3:uid="{0F13CD86-DAD5-49E1-8D40-C02F31F1B2AF}" name="DESIGNATOR"/>
    <tableColumn id="2" xr3:uid="{08B565FC-233D-48D0-884E-A2DAC413FE79}" name="NAME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383D5C-06CC-4FD4-9FF0-9E80EC047978}" name="SequenceNumbers" displayName="SequenceNumbers" ref="A1:B12" totalsRowShown="0">
  <autoFilter ref="A1:B12" xr:uid="{6B383D5C-06CC-4FD4-9FF0-9E80EC047978}"/>
  <tableColumns count="2">
    <tableColumn id="1" xr3:uid="{91C9FC98-B3EC-4787-87D3-ECB58A3713CE}" name="NAME"/>
    <tableColumn id="2" xr3:uid="{E2F9F523-530F-40D4-AE80-3F174623EE0A}" name="DESCRIPTION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AB40-8D5C-460E-AFAC-B759AC8F156A}">
  <dimension ref="A1:M62"/>
  <sheetViews>
    <sheetView tabSelected="1" workbookViewId="0">
      <pane ySplit="1" topLeftCell="A47" activePane="bottomLeft" state="frozen"/>
      <selection pane="bottomLeft" activeCell="C67" sqref="C67"/>
    </sheetView>
  </sheetViews>
  <sheetFormatPr defaultRowHeight="30" customHeight="1" x14ac:dyDescent="0.35"/>
  <cols>
    <col min="1" max="1" width="7.453125" style="3" bestFit="1" customWidth="1"/>
    <col min="2" max="2" width="42.54296875" style="3" customWidth="1"/>
    <col min="3" max="3" width="22" style="4" customWidth="1"/>
    <col min="4" max="4" width="5.453125" style="5" customWidth="1"/>
    <col min="5" max="5" width="3.36328125" bestFit="1" customWidth="1"/>
    <col min="6" max="6" width="5.453125" style="3" customWidth="1"/>
    <col min="7" max="7" width="38.81640625" style="3" customWidth="1"/>
    <col min="8" max="8" width="30.08984375" style="4" customWidth="1"/>
    <col min="9" max="9" width="7" style="6" customWidth="1"/>
    <col min="10" max="10" width="8.453125" style="6" customWidth="1"/>
    <col min="11" max="11" width="6.81640625" style="6" customWidth="1"/>
    <col min="12" max="12" width="3.81640625" style="3" customWidth="1"/>
    <col min="13" max="16384" width="8.7265625" style="3"/>
  </cols>
  <sheetData>
    <row r="1" spans="1:13" ht="91.5" customHeight="1" x14ac:dyDescent="0.35">
      <c r="A1" s="19" t="s">
        <v>68</v>
      </c>
      <c r="B1" s="19" t="s">
        <v>69</v>
      </c>
      <c r="C1" s="20" t="s">
        <v>102</v>
      </c>
      <c r="D1" s="21" t="s">
        <v>47</v>
      </c>
      <c r="E1" s="21" t="s">
        <v>97</v>
      </c>
      <c r="F1" s="21" t="s">
        <v>96</v>
      </c>
      <c r="G1" s="20" t="s">
        <v>107</v>
      </c>
      <c r="H1" s="22" t="s">
        <v>99</v>
      </c>
      <c r="I1" s="22" t="s">
        <v>100</v>
      </c>
      <c r="J1" s="22" t="s">
        <v>103</v>
      </c>
      <c r="K1" s="22" t="s">
        <v>98</v>
      </c>
      <c r="L1" s="22" t="s">
        <v>111</v>
      </c>
    </row>
    <row r="2" spans="1:13" ht="30" customHeight="1" x14ac:dyDescent="0.35">
      <c r="A2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CS0-01</v>
      </c>
      <c r="B2" s="3" t="str">
        <f>IF(ISBLANK(SHEETLIST[[#This Row],[SHEET NAME MODIFIER]]),SHEETLIST[[#This Row],[SHEET TYPE LOOKUP]],SHEETLIST[[#This Row],[SHEET NAME MODIFIER]])</f>
        <v>COVERSHEET</v>
      </c>
      <c r="C2" s="10" t="s">
        <v>1</v>
      </c>
      <c r="D2" s="11" t="str">
        <f>INDEX(DisciplineDesignators[],MATCH(SHEETLIST[[#This Row],[DISCIPLINE NAME LOOKUP]],DisciplineDesignators[NAME],0),2)</f>
        <v>CS</v>
      </c>
      <c r="E2" s="3">
        <f>INDEX(SheetTypes[],MATCH(SHEETLIST[[#This Row],[SHEET TYPE LOOKUP]],SheetTypes[NAME],0),1)</f>
        <v>0</v>
      </c>
      <c r="F2" s="7" t="s">
        <v>101</v>
      </c>
      <c r="G2" s="10" t="s">
        <v>108</v>
      </c>
      <c r="H2" s="12" t="s">
        <v>109</v>
      </c>
      <c r="I2" s="13"/>
      <c r="J2" s="13">
        <v>0</v>
      </c>
      <c r="K2" s="7">
        <v>1</v>
      </c>
      <c r="L2" s="3">
        <f>_xlfn.NUMBERVALUE(INDEX(DisciplineDesignators[],MATCH(SHEETLIST[[#This Row],[DISCIPLINE NAME LOOKUP]],DisciplineDesignators[NAME],0),1)+SHEETLIST[[#This Row],[SHEET TYPE]])</f>
        <v>0</v>
      </c>
      <c r="M2" s="3" t="str">
        <f>REPT("I",SHEETLIST[[#This Row],[Designator Code]])</f>
        <v/>
      </c>
    </row>
    <row r="3" spans="1:13" ht="30" customHeight="1" x14ac:dyDescent="0.35">
      <c r="A3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G0-01</v>
      </c>
      <c r="B3" s="3" t="str">
        <f>IF(ISBLANK(SHEETLIST[[#This Row],[SHEET NAME MODIFIER]]),SHEETLIST[[#This Row],[SHEET TYPE LOOKUP]],SHEETLIST[[#This Row],[SHEET NAME MODIFIER]])</f>
        <v>ABBREVIATIONS, ADA, GENERAL NOTES, FIRE MARSHAL NOTES</v>
      </c>
      <c r="C3" s="10" t="s">
        <v>3</v>
      </c>
      <c r="D3" s="11" t="str">
        <f>INDEX(DisciplineDesignators[],MATCH(SHEETLIST[[#This Row],[DISCIPLINE NAME LOOKUP]],DisciplineDesignators[NAME],0),2)</f>
        <v>G</v>
      </c>
      <c r="E3" s="3">
        <f>INDEX(SheetTypes[],MATCH(SHEETLIST[[#This Row],[SHEET TYPE LOOKUP]],SheetTypes[NAME],0),1)</f>
        <v>0</v>
      </c>
      <c r="F3" s="7" t="s">
        <v>101</v>
      </c>
      <c r="G3" s="10" t="s">
        <v>108</v>
      </c>
      <c r="H3" s="12" t="s">
        <v>104</v>
      </c>
      <c r="I3" s="13"/>
      <c r="J3" s="13">
        <v>0</v>
      </c>
      <c r="K3" s="7">
        <v>1</v>
      </c>
      <c r="L3" s="3">
        <f>_xlfn.NUMBERVALUE(INDEX(DisciplineDesignators[],MATCH(SHEETLIST[[#This Row],[DISCIPLINE NAME LOOKUP]],DisciplineDesignators[NAME],0),1)+SHEETLIST[[#This Row],[SHEET TYPE]])</f>
        <v>10</v>
      </c>
    </row>
    <row r="4" spans="1:13" ht="30" customHeight="1" x14ac:dyDescent="0.35">
      <c r="A4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G0-02</v>
      </c>
      <c r="B4" s="3" t="str">
        <f>IF(ISBLANK(SHEETLIST[[#This Row],[SHEET NAME MODIFIER]]),SHEETLIST[[#This Row],[SHEET TYPE LOOKUP]],SHEETLIST[[#This Row],[SHEET NAME MODIFIER]])</f>
        <v>TAS, ADA SPECIFICATIONS &amp; DETAILS</v>
      </c>
      <c r="C4" s="10" t="s">
        <v>3</v>
      </c>
      <c r="D4" s="11" t="str">
        <f>INDEX(DisciplineDesignators[],MATCH(SHEETLIST[[#This Row],[DISCIPLINE NAME LOOKUP]],DisciplineDesignators[NAME],0),2)</f>
        <v>G</v>
      </c>
      <c r="E4" s="3">
        <f>INDEX(SheetTypes[],MATCH(SHEETLIST[[#This Row],[SHEET TYPE LOOKUP]],SheetTypes[NAME],0),1)</f>
        <v>0</v>
      </c>
      <c r="F4" s="7" t="s">
        <v>101</v>
      </c>
      <c r="G4" s="10" t="s">
        <v>108</v>
      </c>
      <c r="H4" s="12" t="s">
        <v>110</v>
      </c>
      <c r="I4" s="13"/>
      <c r="J4" s="13">
        <v>0</v>
      </c>
      <c r="K4" s="7">
        <v>2</v>
      </c>
      <c r="L4" s="3">
        <f>_xlfn.NUMBERVALUE(INDEX(DisciplineDesignators[],MATCH(SHEETLIST[[#This Row],[DISCIPLINE NAME LOOKUP]],DisciplineDesignators[NAME],0),1)+SHEETLIST[[#This Row],[SHEET TYPE]])</f>
        <v>10</v>
      </c>
    </row>
    <row r="5" spans="1:13" ht="30" customHeight="1" x14ac:dyDescent="0.35">
      <c r="A5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G1-101</v>
      </c>
      <c r="B5" s="3" t="str">
        <f>IF(ISBLANK(SHEETLIST[[#This Row],[SHEET NAME MODIFIER]]),SHEETLIST[[#This Row],[SHEET TYPE LOOKUP]],SHEETLIST[[#This Row],[SHEET NAME MODIFIER]])</f>
        <v>LIFE SAFETY PLAN</v>
      </c>
      <c r="C5" s="10" t="s">
        <v>3</v>
      </c>
      <c r="D5" s="11" t="str">
        <f>INDEX(DisciplineDesignators[],MATCH(SHEETLIST[[#This Row],[DISCIPLINE NAME LOOKUP]],DisciplineDesignators[NAME],0),2)</f>
        <v>G</v>
      </c>
      <c r="E5" s="3">
        <f>INDEX(SheetTypes[],MATCH(SHEETLIST[[#This Row],[SHEET TYPE LOOKUP]],SheetTypes[NAME],0),1)</f>
        <v>1</v>
      </c>
      <c r="F5" s="7" t="s">
        <v>101</v>
      </c>
      <c r="G5" s="10" t="s">
        <v>50</v>
      </c>
      <c r="H5" s="12" t="s">
        <v>105</v>
      </c>
      <c r="I5" s="13">
        <v>1</v>
      </c>
      <c r="J5" s="13">
        <v>0</v>
      </c>
      <c r="K5" s="7">
        <v>1</v>
      </c>
      <c r="L5" s="3">
        <f>_xlfn.NUMBERVALUE(INDEX(DisciplineDesignators[],MATCH(SHEETLIST[[#This Row],[DISCIPLINE NAME LOOKUP]],DisciplineDesignators[NAME],0),1)+SHEETLIST[[#This Row],[SHEET TYPE]])</f>
        <v>11</v>
      </c>
    </row>
    <row r="6" spans="1:13" ht="30" customHeight="1" x14ac:dyDescent="0.35">
      <c r="A6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A1-101</v>
      </c>
      <c r="B6" s="3" t="str">
        <f>IF(ISBLANK(SHEETLIST[[#This Row],[SHEET NAME MODIFIER]]),SHEETLIST[[#This Row],[SHEET TYPE LOOKUP]],SHEETLIST[[#This Row],[SHEET NAME MODIFIER]])</f>
        <v>DIMENSION PLAN - FLOOR</v>
      </c>
      <c r="C6" s="10" t="s">
        <v>17</v>
      </c>
      <c r="D6" s="11" t="str">
        <f>INDEX(DisciplineDesignators[],MATCH(SHEETLIST[[#This Row],[DISCIPLINE NAME LOOKUP]],DisciplineDesignators[NAME],0),2)</f>
        <v>A</v>
      </c>
      <c r="E6" s="3">
        <f>INDEX(SheetTypes[],MATCH(SHEETLIST[[#This Row],[SHEET TYPE LOOKUP]],SheetTypes[NAME],0),1)</f>
        <v>1</v>
      </c>
      <c r="F6" s="7" t="s">
        <v>101</v>
      </c>
      <c r="G6" s="10" t="s">
        <v>50</v>
      </c>
      <c r="H6" s="12" t="s">
        <v>106</v>
      </c>
      <c r="I6" s="13">
        <v>1</v>
      </c>
      <c r="J6" s="13">
        <v>0</v>
      </c>
      <c r="K6" s="7">
        <v>1</v>
      </c>
      <c r="L6" s="3">
        <f>_xlfn.NUMBERVALUE(INDEX(DisciplineDesignators[],MATCH(SHEETLIST[[#This Row],[DISCIPLINE NAME LOOKUP]],DisciplineDesignators[NAME],0),1)+SHEETLIST[[#This Row],[SHEET TYPE]])</f>
        <v>81</v>
      </c>
    </row>
    <row r="7" spans="1:13" ht="30" customHeight="1" x14ac:dyDescent="0.35">
      <c r="A7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A1-102</v>
      </c>
      <c r="B7" s="3" t="str">
        <f>IF(ISBLANK(SHEETLIST[[#This Row],[SHEET NAME MODIFIER]]),SHEETLIST[[#This Row],[SHEET TYPE LOOKUP]],SHEETLIST[[#This Row],[SHEET NAME MODIFIER]])</f>
        <v>DIMENSION PLAN - REFLECTED CEILING</v>
      </c>
      <c r="C7" s="15" t="s">
        <v>17</v>
      </c>
      <c r="D7" s="14" t="str">
        <f>INDEX(DisciplineDesignators[],MATCH(SHEETLIST[[#This Row],[DISCIPLINE NAME LOOKUP]],DisciplineDesignators[NAME],0),2)</f>
        <v>A</v>
      </c>
      <c r="E7" s="3">
        <f>INDEX(SheetTypes[],MATCH(SHEETLIST[[#This Row],[SHEET TYPE LOOKUP]],SheetTypes[NAME],0),1)</f>
        <v>1</v>
      </c>
      <c r="F7" s="7" t="s">
        <v>101</v>
      </c>
      <c r="G7" s="15" t="s">
        <v>50</v>
      </c>
      <c r="H7" s="12" t="s">
        <v>115</v>
      </c>
      <c r="I7" s="13">
        <v>1</v>
      </c>
      <c r="J7" s="13">
        <v>0</v>
      </c>
      <c r="K7" s="7">
        <v>2</v>
      </c>
      <c r="L7" s="3">
        <f>_xlfn.NUMBERVALUE(INDEX(DisciplineDesignators[],MATCH(SHEETLIST[[#This Row],[DISCIPLINE NAME LOOKUP]],DisciplineDesignators[NAME],0),1)+SHEETLIST[[#This Row],[SHEET TYPE]])</f>
        <v>81</v>
      </c>
    </row>
    <row r="8" spans="1:13" ht="30" customHeight="1" x14ac:dyDescent="0.35">
      <c r="A8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A1-103</v>
      </c>
      <c r="B8" s="3" t="str">
        <f>IF(ISBLANK(SHEETLIST[[#This Row],[SHEET NAME MODIFIER]]),SHEETLIST[[#This Row],[SHEET TYPE LOOKUP]],SHEETLIST[[#This Row],[SHEET NAME MODIFIER]])</f>
        <v>DIMENSION PLAN - ROOF</v>
      </c>
      <c r="C8" s="10" t="s">
        <v>17</v>
      </c>
      <c r="D8" s="14" t="str">
        <f>INDEX(DisciplineDesignators[],MATCH(SHEETLIST[[#This Row],[DISCIPLINE NAME LOOKUP]],DisciplineDesignators[NAME],0),2)</f>
        <v>A</v>
      </c>
      <c r="E8" s="3">
        <f>INDEX(SheetTypes[],MATCH(SHEETLIST[[#This Row],[SHEET TYPE LOOKUP]],SheetTypes[NAME],0),1)</f>
        <v>1</v>
      </c>
      <c r="F8" s="7" t="s">
        <v>101</v>
      </c>
      <c r="G8" s="10" t="s">
        <v>50</v>
      </c>
      <c r="H8" s="12" t="s">
        <v>116</v>
      </c>
      <c r="I8" s="13">
        <v>1</v>
      </c>
      <c r="J8" s="13">
        <v>0</v>
      </c>
      <c r="K8" s="7">
        <v>3</v>
      </c>
      <c r="L8" s="3">
        <f>_xlfn.NUMBERVALUE(INDEX(DisciplineDesignators[],MATCH(SHEETLIST[[#This Row],[DISCIPLINE NAME LOOKUP]],DisciplineDesignators[NAME],0),1)+SHEETLIST[[#This Row],[SHEET TYPE]])</f>
        <v>81</v>
      </c>
    </row>
    <row r="9" spans="1:13" ht="30" customHeight="1" x14ac:dyDescent="0.35">
      <c r="A9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A1-104</v>
      </c>
      <c r="B9" s="3" t="str">
        <f>IF(ISBLANK(SHEETLIST[[#This Row],[SHEET NAME MODIFIER]]),SHEETLIST[[#This Row],[SHEET TYPE LOOKUP]],SHEETLIST[[#This Row],[SHEET NAME MODIFIER]])</f>
        <v>CONSTRUCTION PLAN - FLOOR</v>
      </c>
      <c r="C9" s="10" t="s">
        <v>17</v>
      </c>
      <c r="D9" s="14" t="str">
        <f>INDEX(DisciplineDesignators[],MATCH(SHEETLIST[[#This Row],[DISCIPLINE NAME LOOKUP]],DisciplineDesignators[NAME],0),2)</f>
        <v>A</v>
      </c>
      <c r="E9" s="3">
        <f>INDEX(SheetTypes[],MATCH(SHEETLIST[[#This Row],[SHEET TYPE LOOKUP]],SheetTypes[NAME],0),1)</f>
        <v>1</v>
      </c>
      <c r="F9" s="7" t="s">
        <v>101</v>
      </c>
      <c r="G9" s="10" t="s">
        <v>50</v>
      </c>
      <c r="H9" s="12" t="s">
        <v>113</v>
      </c>
      <c r="I9" s="13">
        <v>1</v>
      </c>
      <c r="J9" s="13">
        <v>0</v>
      </c>
      <c r="K9" s="7">
        <v>4</v>
      </c>
      <c r="L9" s="3">
        <f>_xlfn.NUMBERVALUE(INDEX(DisciplineDesignators[],MATCH(SHEETLIST[[#This Row],[DISCIPLINE NAME LOOKUP]],DisciplineDesignators[NAME],0),1)+SHEETLIST[[#This Row],[SHEET TYPE]])</f>
        <v>81</v>
      </c>
    </row>
    <row r="10" spans="1:13" ht="30" customHeight="1" x14ac:dyDescent="0.35">
      <c r="A10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A1-105</v>
      </c>
      <c r="B10" s="3" t="str">
        <f>IF(ISBLANK(SHEETLIST[[#This Row],[SHEET NAME MODIFIER]]),SHEETLIST[[#This Row],[SHEET TYPE LOOKUP]],SHEETLIST[[#This Row],[SHEET NAME MODIFIER]])</f>
        <v>CONSTRUCTION PLAN - REFLECTED CEILING</v>
      </c>
      <c r="C10" s="10" t="s">
        <v>17</v>
      </c>
      <c r="D10" s="11" t="str">
        <f>INDEX(DisciplineDesignators[],MATCH(SHEETLIST[[#This Row],[DISCIPLINE NAME LOOKUP]],DisciplineDesignators[NAME],0),2)</f>
        <v>A</v>
      </c>
      <c r="E10" s="3">
        <f>INDEX(SheetTypes[],MATCH(SHEETLIST[[#This Row],[SHEET TYPE LOOKUP]],SheetTypes[NAME],0),1)</f>
        <v>1</v>
      </c>
      <c r="F10" s="7" t="s">
        <v>101</v>
      </c>
      <c r="G10" s="10" t="s">
        <v>50</v>
      </c>
      <c r="H10" s="12" t="s">
        <v>114</v>
      </c>
      <c r="I10" s="13">
        <v>1</v>
      </c>
      <c r="J10" s="13">
        <v>0</v>
      </c>
      <c r="K10" s="7">
        <v>5</v>
      </c>
      <c r="L10" s="3">
        <f>_xlfn.NUMBERVALUE(INDEX(DisciplineDesignators[],MATCH(SHEETLIST[[#This Row],[DISCIPLINE NAME LOOKUP]],DisciplineDesignators[NAME],0),1)+SHEETLIST[[#This Row],[SHEET TYPE]])</f>
        <v>81</v>
      </c>
    </row>
    <row r="11" spans="1:13" ht="30" customHeight="1" x14ac:dyDescent="0.35">
      <c r="A11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A1-106</v>
      </c>
      <c r="B11" s="3" t="str">
        <f>IF(ISBLANK(SHEETLIST[[#This Row],[SHEET NAME MODIFIER]]),SHEETLIST[[#This Row],[SHEET TYPE LOOKUP]],SHEETLIST[[#This Row],[SHEET NAME MODIFIER]])</f>
        <v>CONSTRUCTION PLAN - ROOF</v>
      </c>
      <c r="C11" s="10" t="s">
        <v>17</v>
      </c>
      <c r="D11" s="11" t="str">
        <f>INDEX(DisciplineDesignators[],MATCH(SHEETLIST[[#This Row],[DISCIPLINE NAME LOOKUP]],DisciplineDesignators[NAME],0),2)</f>
        <v>A</v>
      </c>
      <c r="E11" s="3">
        <f>INDEX(SheetTypes[],MATCH(SHEETLIST[[#This Row],[SHEET TYPE LOOKUP]],SheetTypes[NAME],0),1)</f>
        <v>1</v>
      </c>
      <c r="F11" s="7" t="s">
        <v>101</v>
      </c>
      <c r="G11" s="10" t="s">
        <v>50</v>
      </c>
      <c r="H11" s="12" t="s">
        <v>117</v>
      </c>
      <c r="I11" s="13">
        <v>1</v>
      </c>
      <c r="J11" s="13">
        <v>0</v>
      </c>
      <c r="K11" s="7">
        <v>6</v>
      </c>
      <c r="L11" s="3">
        <f>_xlfn.NUMBERVALUE(INDEX(DisciplineDesignators[],MATCH(SHEETLIST[[#This Row],[DISCIPLINE NAME LOOKUP]],DisciplineDesignators[NAME],0),1)+SHEETLIST[[#This Row],[SHEET TYPE]])</f>
        <v>81</v>
      </c>
    </row>
    <row r="12" spans="1:13" ht="30" customHeight="1" x14ac:dyDescent="0.35">
      <c r="A12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A1-107</v>
      </c>
      <c r="B12" s="3" t="str">
        <f>IF(ISBLANK(SHEETLIST[[#This Row],[SHEET NAME MODIFIER]]),SHEETLIST[[#This Row],[SHEET TYPE LOOKUP]],SHEETLIST[[#This Row],[SHEET NAME MODIFIER]])</f>
        <v>CONSTRUCTION PLAN - GAS CANOPY</v>
      </c>
      <c r="C12" s="10" t="s">
        <v>17</v>
      </c>
      <c r="D12" s="14" t="str">
        <f>INDEX(DisciplineDesignators[],MATCH(SHEETLIST[[#This Row],[DISCIPLINE NAME LOOKUP]],DisciplineDesignators[NAME],0),2)</f>
        <v>A</v>
      </c>
      <c r="E12" s="3">
        <f>INDEX(SheetTypes[],MATCH(SHEETLIST[[#This Row],[SHEET TYPE LOOKUP]],SheetTypes[NAME],0),1)</f>
        <v>1</v>
      </c>
      <c r="F12" s="7" t="s">
        <v>101</v>
      </c>
      <c r="G12" s="10" t="s">
        <v>50</v>
      </c>
      <c r="H12" s="12" t="s">
        <v>123</v>
      </c>
      <c r="I12" s="13">
        <v>1</v>
      </c>
      <c r="J12" s="13">
        <v>0</v>
      </c>
      <c r="K12" s="7">
        <v>7</v>
      </c>
      <c r="L12" s="3">
        <f>_xlfn.NUMBERVALUE(INDEX(DisciplineDesignators[],MATCH(SHEETLIST[[#This Row],[DISCIPLINE NAME LOOKUP]],DisciplineDesignators[NAME],0),1)+SHEETLIST[[#This Row],[SHEET TYPE]])</f>
        <v>81</v>
      </c>
    </row>
    <row r="13" spans="1:13" ht="30" customHeight="1" x14ac:dyDescent="0.35">
      <c r="A13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A1-108</v>
      </c>
      <c r="B13" s="3" t="str">
        <f>IF(ISBLANK(SHEETLIST[[#This Row],[SHEET NAME MODIFIER]]),SHEETLIST[[#This Row],[SHEET TYPE LOOKUP]],SHEETLIST[[#This Row],[SHEET NAME MODIFIER]])</f>
        <v>FINISH PLAN - FLOOR</v>
      </c>
      <c r="C13" s="4" t="s">
        <v>17</v>
      </c>
      <c r="D13" s="16" t="str">
        <f>INDEX(DisciplineDesignators[],MATCH(SHEETLIST[[#This Row],[DISCIPLINE NAME LOOKUP]],DisciplineDesignators[NAME],0),2)</f>
        <v>A</v>
      </c>
      <c r="E13" s="3">
        <f>INDEX(SheetTypes[],MATCH(SHEETLIST[[#This Row],[SHEET TYPE LOOKUP]],SheetTypes[NAME],0),1)</f>
        <v>1</v>
      </c>
      <c r="F13" s="7" t="s">
        <v>101</v>
      </c>
      <c r="G13" s="4" t="s">
        <v>50</v>
      </c>
      <c r="H13" s="8" t="s">
        <v>118</v>
      </c>
      <c r="I13" s="13">
        <v>1</v>
      </c>
      <c r="J13" s="13">
        <v>0</v>
      </c>
      <c r="K13" s="7">
        <v>8</v>
      </c>
      <c r="L13" s="3">
        <f>_xlfn.NUMBERVALUE(INDEX(DisciplineDesignators[],MATCH(SHEETLIST[[#This Row],[DISCIPLINE NAME LOOKUP]],DisciplineDesignators[NAME],0),1)+SHEETLIST[[#This Row],[SHEET TYPE]])</f>
        <v>81</v>
      </c>
    </row>
    <row r="14" spans="1:13" ht="30" customHeight="1" x14ac:dyDescent="0.35">
      <c r="A14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A1-109</v>
      </c>
      <c r="B14" s="3" t="str">
        <f>IF(ISBLANK(SHEETLIST[[#This Row],[SHEET NAME MODIFIER]]),SHEETLIST[[#This Row],[SHEET TYPE LOOKUP]],SHEETLIST[[#This Row],[SHEET NAME MODIFIER]])</f>
        <v>FINISH PLAN - REFLECTED CEILING PLAN</v>
      </c>
      <c r="C14" s="4" t="s">
        <v>17</v>
      </c>
      <c r="D14" s="16" t="str">
        <f>INDEX(DisciplineDesignators[],MATCH(SHEETLIST[[#This Row],[DISCIPLINE NAME LOOKUP]],DisciplineDesignators[NAME],0),2)</f>
        <v>A</v>
      </c>
      <c r="E14" s="3">
        <f>INDEX(SheetTypes[],MATCH(SHEETLIST[[#This Row],[SHEET TYPE LOOKUP]],SheetTypes[NAME],0),1)</f>
        <v>1</v>
      </c>
      <c r="F14" s="7" t="s">
        <v>101</v>
      </c>
      <c r="G14" s="4" t="s">
        <v>50</v>
      </c>
      <c r="H14" s="8" t="s">
        <v>119</v>
      </c>
      <c r="I14" s="9">
        <v>1</v>
      </c>
      <c r="J14" s="9">
        <v>0</v>
      </c>
      <c r="K14" s="7">
        <v>9</v>
      </c>
      <c r="L14" s="3">
        <f>_xlfn.NUMBERVALUE(INDEX(DisciplineDesignators[],MATCH(SHEETLIST[[#This Row],[DISCIPLINE NAME LOOKUP]],DisciplineDesignators[NAME],0),1)+SHEETLIST[[#This Row],[SHEET TYPE]])</f>
        <v>81</v>
      </c>
    </row>
    <row r="15" spans="1:13" ht="30" customHeight="1" x14ac:dyDescent="0.35">
      <c r="A15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A2-01</v>
      </c>
      <c r="B15" s="3" t="str">
        <f>IF(ISBLANK(SHEETLIST[[#This Row],[SHEET NAME MODIFIER]]),SHEETLIST[[#This Row],[SHEET TYPE LOOKUP]],SHEETLIST[[#This Row],[SHEET NAME MODIFIER]])</f>
        <v>ELEVATIONS - EXTERIOR</v>
      </c>
      <c r="C15" s="4" t="s">
        <v>17</v>
      </c>
      <c r="D15" s="16" t="str">
        <f>INDEX(DisciplineDesignators[],MATCH(SHEETLIST[[#This Row],[DISCIPLINE NAME LOOKUP]],DisciplineDesignators[NAME],0),2)</f>
        <v>A</v>
      </c>
      <c r="E15" s="3">
        <f>INDEX(SheetTypes[],MATCH(SHEETLIST[[#This Row],[SHEET TYPE LOOKUP]],SheetTypes[NAME],0),1)</f>
        <v>2</v>
      </c>
      <c r="F15" s="7" t="s">
        <v>101</v>
      </c>
      <c r="G15" s="4" t="s">
        <v>51</v>
      </c>
      <c r="H15" s="8" t="s">
        <v>135</v>
      </c>
      <c r="I15" s="9"/>
      <c r="J15" s="9">
        <v>0</v>
      </c>
      <c r="K15" s="17">
        <v>1</v>
      </c>
      <c r="L15" s="3">
        <f>_xlfn.NUMBERVALUE(INDEX(DisciplineDesignators[],MATCH(SHEETLIST[[#This Row],[DISCIPLINE NAME LOOKUP]],DisciplineDesignators[NAME],0),1)+SHEETLIST[[#This Row],[SHEET TYPE]])</f>
        <v>82</v>
      </c>
    </row>
    <row r="16" spans="1:13" ht="30" customHeight="1" x14ac:dyDescent="0.35">
      <c r="A16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A2-02</v>
      </c>
      <c r="B16" s="3" t="str">
        <f>IF(ISBLANK(SHEETLIST[[#This Row],[SHEET NAME MODIFIER]]),SHEETLIST[[#This Row],[SHEET TYPE LOOKUP]],SHEETLIST[[#This Row],[SHEET NAME MODIFIER]])</f>
        <v>ELEVATIONS - EXTERIOR</v>
      </c>
      <c r="C16" s="4" t="s">
        <v>17</v>
      </c>
      <c r="D16" s="16" t="str">
        <f>INDEX(DisciplineDesignators[],MATCH(SHEETLIST[[#This Row],[DISCIPLINE NAME LOOKUP]],DisciplineDesignators[NAME],0),2)</f>
        <v>A</v>
      </c>
      <c r="E16" s="3">
        <f>INDEX(SheetTypes[],MATCH(SHEETLIST[[#This Row],[SHEET TYPE LOOKUP]],SheetTypes[NAME],0),1)</f>
        <v>2</v>
      </c>
      <c r="F16" s="7" t="s">
        <v>101</v>
      </c>
      <c r="G16" s="4" t="s">
        <v>51</v>
      </c>
      <c r="H16" s="8" t="s">
        <v>135</v>
      </c>
      <c r="I16" s="9"/>
      <c r="J16" s="9">
        <v>0</v>
      </c>
      <c r="K16" s="17">
        <v>2</v>
      </c>
      <c r="L16" s="3">
        <f>_xlfn.NUMBERVALUE(INDEX(DisciplineDesignators[],MATCH(SHEETLIST[[#This Row],[DISCIPLINE NAME LOOKUP]],DisciplineDesignators[NAME],0),1)+SHEETLIST[[#This Row],[SHEET TYPE]])</f>
        <v>82</v>
      </c>
    </row>
    <row r="17" spans="1:12" ht="30" customHeight="1" x14ac:dyDescent="0.35">
      <c r="A17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A3-01</v>
      </c>
      <c r="B17" s="3" t="str">
        <f>IF(ISBLANK(SHEETLIST[[#This Row],[SHEET NAME MODIFIER]]),SHEETLIST[[#This Row],[SHEET TYPE LOOKUP]],SHEETLIST[[#This Row],[SHEET NAME MODIFIER]])</f>
        <v>SECTIONS - BUILDING</v>
      </c>
      <c r="C17" s="4" t="s">
        <v>17</v>
      </c>
      <c r="D17" s="16" t="str">
        <f>INDEX(DisciplineDesignators[],MATCH(SHEETLIST[[#This Row],[DISCIPLINE NAME LOOKUP]],DisciplineDesignators[NAME],0),2)</f>
        <v>A</v>
      </c>
      <c r="E17" s="3">
        <f>INDEX(SheetTypes[],MATCH(SHEETLIST[[#This Row],[SHEET TYPE LOOKUP]],SheetTypes[NAME],0),1)</f>
        <v>3</v>
      </c>
      <c r="F17" s="7" t="s">
        <v>101</v>
      </c>
      <c r="G17" s="4" t="s">
        <v>52</v>
      </c>
      <c r="H17" s="8" t="s">
        <v>136</v>
      </c>
      <c r="I17" s="9"/>
      <c r="J17" s="9">
        <v>0</v>
      </c>
      <c r="K17" s="17">
        <v>1</v>
      </c>
      <c r="L17" s="3">
        <f>_xlfn.NUMBERVALUE(INDEX(DisciplineDesignators[],MATCH(SHEETLIST[[#This Row],[DISCIPLINE NAME LOOKUP]],DisciplineDesignators[NAME],0),1)+SHEETLIST[[#This Row],[SHEET TYPE]])</f>
        <v>83</v>
      </c>
    </row>
    <row r="18" spans="1:12" ht="30" customHeight="1" x14ac:dyDescent="0.35">
      <c r="A18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A3-02</v>
      </c>
      <c r="B18" s="3" t="str">
        <f>IF(ISBLANK(SHEETLIST[[#This Row],[SHEET NAME MODIFIER]]),SHEETLIST[[#This Row],[SHEET TYPE LOOKUP]],SHEETLIST[[#This Row],[SHEET NAME MODIFIER]])</f>
        <v>SECTIONS - BUILDING</v>
      </c>
      <c r="C18" s="4" t="s">
        <v>17</v>
      </c>
      <c r="D18" s="16" t="str">
        <f>INDEX(DisciplineDesignators[],MATCH(SHEETLIST[[#This Row],[DISCIPLINE NAME LOOKUP]],DisciplineDesignators[NAME],0),2)</f>
        <v>A</v>
      </c>
      <c r="E18" s="3">
        <f>INDEX(SheetTypes[],MATCH(SHEETLIST[[#This Row],[SHEET TYPE LOOKUP]],SheetTypes[NAME],0),1)</f>
        <v>3</v>
      </c>
      <c r="F18" s="7" t="s">
        <v>101</v>
      </c>
      <c r="G18" s="4" t="s">
        <v>52</v>
      </c>
      <c r="H18" s="8" t="s">
        <v>136</v>
      </c>
      <c r="I18" s="9"/>
      <c r="J18" s="9">
        <v>0</v>
      </c>
      <c r="K18" s="17">
        <v>2</v>
      </c>
      <c r="L18" s="3">
        <f>_xlfn.NUMBERVALUE(INDEX(DisciplineDesignators[],MATCH(SHEETLIST[[#This Row],[DISCIPLINE NAME LOOKUP]],DisciplineDesignators[NAME],0),1)+SHEETLIST[[#This Row],[SHEET TYPE]])</f>
        <v>83</v>
      </c>
    </row>
    <row r="19" spans="1:12" ht="30" customHeight="1" x14ac:dyDescent="0.35">
      <c r="A19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A3-03</v>
      </c>
      <c r="B19" s="3" t="str">
        <f>IF(ISBLANK(SHEETLIST[[#This Row],[SHEET NAME MODIFIER]]),SHEETLIST[[#This Row],[SHEET TYPE LOOKUP]],SHEETLIST[[#This Row],[SHEET NAME MODIFIER]])</f>
        <v>SECTIONS - WALL</v>
      </c>
      <c r="C19" s="4" t="s">
        <v>17</v>
      </c>
      <c r="D19" s="16" t="str">
        <f>INDEX(DisciplineDesignators[],MATCH(SHEETLIST[[#This Row],[DISCIPLINE NAME LOOKUP]],DisciplineDesignators[NAME],0),2)</f>
        <v>A</v>
      </c>
      <c r="E19" s="3">
        <f>INDEX(SheetTypes[],MATCH(SHEETLIST[[#This Row],[SHEET TYPE LOOKUP]],SheetTypes[NAME],0),1)</f>
        <v>3</v>
      </c>
      <c r="F19" s="7" t="s">
        <v>101</v>
      </c>
      <c r="G19" s="4" t="s">
        <v>52</v>
      </c>
      <c r="H19" s="8" t="s">
        <v>137</v>
      </c>
      <c r="I19" s="9"/>
      <c r="J19" s="9">
        <v>0</v>
      </c>
      <c r="K19" s="17">
        <v>3</v>
      </c>
      <c r="L19" s="3">
        <f>_xlfn.NUMBERVALUE(INDEX(DisciplineDesignators[],MATCH(SHEETLIST[[#This Row],[DISCIPLINE NAME LOOKUP]],DisciplineDesignators[NAME],0),1)+SHEETLIST[[#This Row],[SHEET TYPE]])</f>
        <v>83</v>
      </c>
    </row>
    <row r="20" spans="1:12" ht="30" customHeight="1" x14ac:dyDescent="0.35">
      <c r="A20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A3-04</v>
      </c>
      <c r="B20" s="3" t="str">
        <f>IF(ISBLANK(SHEETLIST[[#This Row],[SHEET NAME MODIFIER]]),SHEETLIST[[#This Row],[SHEET TYPE LOOKUP]],SHEETLIST[[#This Row],[SHEET NAME MODIFIER]])</f>
        <v>SECTIONS - WALL</v>
      </c>
      <c r="C20" s="4" t="s">
        <v>17</v>
      </c>
      <c r="D20" s="16" t="str">
        <f>INDEX(DisciplineDesignators[],MATCH(SHEETLIST[[#This Row],[DISCIPLINE NAME LOOKUP]],DisciplineDesignators[NAME],0),2)</f>
        <v>A</v>
      </c>
      <c r="E20" s="3">
        <f>INDEX(SheetTypes[],MATCH(SHEETLIST[[#This Row],[SHEET TYPE LOOKUP]],SheetTypes[NAME],0),1)</f>
        <v>3</v>
      </c>
      <c r="F20" s="7" t="s">
        <v>101</v>
      </c>
      <c r="G20" s="18" t="s">
        <v>52</v>
      </c>
      <c r="H20" s="8" t="s">
        <v>137</v>
      </c>
      <c r="I20" s="9"/>
      <c r="J20" s="9">
        <v>0</v>
      </c>
      <c r="K20" s="17">
        <v>4</v>
      </c>
      <c r="L20" s="3">
        <f>_xlfn.NUMBERVALUE(INDEX(DisciplineDesignators[],MATCH(SHEETLIST[[#This Row],[DISCIPLINE NAME LOOKUP]],DisciplineDesignators[NAME],0),1)+SHEETLIST[[#This Row],[SHEET TYPE]])</f>
        <v>83</v>
      </c>
    </row>
    <row r="21" spans="1:12" ht="30" customHeight="1" x14ac:dyDescent="0.35">
      <c r="A21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A4-01</v>
      </c>
      <c r="B21" s="3" t="str">
        <f>IF(ISBLANK(SHEETLIST[[#This Row],[SHEET NAME MODIFIER]]),SHEETLIST[[#This Row],[SHEET TYPE LOOKUP]],SHEETLIST[[#This Row],[SHEET NAME MODIFIER]])</f>
        <v>ENLARGED PLANS, ELEVATIONS, SECTIONS</v>
      </c>
      <c r="C21" s="4" t="s">
        <v>17</v>
      </c>
      <c r="D21" s="16" t="str">
        <f>INDEX(DisciplineDesignators[],MATCH(SHEETLIST[[#This Row],[DISCIPLINE NAME LOOKUP]],DisciplineDesignators[NAME],0),2)</f>
        <v>A</v>
      </c>
      <c r="E21" s="3">
        <f>INDEX(SheetTypes[],MATCH(SHEETLIST[[#This Row],[SHEET TYPE LOOKUP]],SheetTypes[NAME],0),1)</f>
        <v>4</v>
      </c>
      <c r="F21" s="7" t="s">
        <v>101</v>
      </c>
      <c r="G21" s="4" t="s">
        <v>53</v>
      </c>
      <c r="H21" s="6"/>
      <c r="I21" s="9"/>
      <c r="J21" s="9">
        <v>0</v>
      </c>
      <c r="K21" s="17">
        <v>1</v>
      </c>
      <c r="L21" s="3">
        <f>_xlfn.NUMBERVALUE(INDEX(DisciplineDesignators[],MATCH(SHEETLIST[[#This Row],[DISCIPLINE NAME LOOKUP]],DisciplineDesignators[NAME],0),1)+SHEETLIST[[#This Row],[SHEET TYPE]])</f>
        <v>84</v>
      </c>
    </row>
    <row r="22" spans="1:12" ht="30" customHeight="1" x14ac:dyDescent="0.35">
      <c r="A22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A4-02</v>
      </c>
      <c r="B22" s="3" t="str">
        <f>IF(ISBLANK(SHEETLIST[[#This Row],[SHEET NAME MODIFIER]]),SHEETLIST[[#This Row],[SHEET TYPE LOOKUP]],SHEETLIST[[#This Row],[SHEET NAME MODIFIER]])</f>
        <v>ENLARGED PLANS, ELEVATIONS, SECTIONS</v>
      </c>
      <c r="C22" s="4" t="s">
        <v>17</v>
      </c>
      <c r="D22" s="16" t="str">
        <f>INDEX(DisciplineDesignators[],MATCH(SHEETLIST[[#This Row],[DISCIPLINE NAME LOOKUP]],DisciplineDesignators[NAME],0),2)</f>
        <v>A</v>
      </c>
      <c r="E22" s="3">
        <f>INDEX(SheetTypes[],MATCH(SHEETLIST[[#This Row],[SHEET TYPE LOOKUP]],SheetTypes[NAME],0),1)</f>
        <v>4</v>
      </c>
      <c r="F22" s="7" t="s">
        <v>101</v>
      </c>
      <c r="G22" s="4" t="s">
        <v>53</v>
      </c>
      <c r="H22" s="6"/>
      <c r="I22" s="9"/>
      <c r="J22" s="9">
        <v>0</v>
      </c>
      <c r="K22" s="17">
        <v>2</v>
      </c>
      <c r="L22" s="3">
        <f>_xlfn.NUMBERVALUE(INDEX(DisciplineDesignators[],MATCH(SHEETLIST[[#This Row],[DISCIPLINE NAME LOOKUP]],DisciplineDesignators[NAME],0),1)+SHEETLIST[[#This Row],[SHEET TYPE]])</f>
        <v>84</v>
      </c>
    </row>
    <row r="23" spans="1:12" ht="30" customHeight="1" x14ac:dyDescent="0.35">
      <c r="A23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A5-01</v>
      </c>
      <c r="B23" s="3" t="str">
        <f>IF(ISBLANK(SHEETLIST[[#This Row],[SHEET NAME MODIFIER]]),SHEETLIST[[#This Row],[SHEET TYPE LOOKUP]],SHEETLIST[[#This Row],[SHEET NAME MODIFIER]])</f>
        <v>DETAILS - CONSTRUCTION</v>
      </c>
      <c r="C23" s="4" t="s">
        <v>17</v>
      </c>
      <c r="D23" s="16" t="str">
        <f>INDEX(DisciplineDesignators[],MATCH(SHEETLIST[[#This Row],[DISCIPLINE NAME LOOKUP]],DisciplineDesignators[NAME],0),2)</f>
        <v>A</v>
      </c>
      <c r="E23" s="3">
        <f>INDEX(SheetTypes[],MATCH(SHEETLIST[[#This Row],[SHEET TYPE LOOKUP]],SheetTypes[NAME],0),1)</f>
        <v>5</v>
      </c>
      <c r="F23" s="7" t="s">
        <v>101</v>
      </c>
      <c r="G23" s="4" t="s">
        <v>54</v>
      </c>
      <c r="H23" s="8" t="s">
        <v>138</v>
      </c>
      <c r="I23" s="9"/>
      <c r="J23" s="9">
        <v>0</v>
      </c>
      <c r="K23" s="17">
        <v>1</v>
      </c>
      <c r="L23" s="3">
        <f>_xlfn.NUMBERVALUE(INDEX(DisciplineDesignators[],MATCH(SHEETLIST[[#This Row],[DISCIPLINE NAME LOOKUP]],DisciplineDesignators[NAME],0),1)+SHEETLIST[[#This Row],[SHEET TYPE]])</f>
        <v>85</v>
      </c>
    </row>
    <row r="24" spans="1:12" ht="30" customHeight="1" x14ac:dyDescent="0.35">
      <c r="A24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A5-02</v>
      </c>
      <c r="B24" s="3" t="str">
        <f>IF(ISBLANK(SHEETLIST[[#This Row],[SHEET NAME MODIFIER]]),SHEETLIST[[#This Row],[SHEET TYPE LOOKUP]],SHEETLIST[[#This Row],[SHEET NAME MODIFIER]])</f>
        <v>DETAILS - CONSTRUCTION</v>
      </c>
      <c r="C24" s="4" t="s">
        <v>17</v>
      </c>
      <c r="D24" s="16" t="str">
        <f>INDEX(DisciplineDesignators[],MATCH(SHEETLIST[[#This Row],[DISCIPLINE NAME LOOKUP]],DisciplineDesignators[NAME],0),2)</f>
        <v>A</v>
      </c>
      <c r="E24" s="3">
        <f>INDEX(SheetTypes[],MATCH(SHEETLIST[[#This Row],[SHEET TYPE LOOKUP]],SheetTypes[NAME],0),1)</f>
        <v>5</v>
      </c>
      <c r="F24" s="7" t="s">
        <v>101</v>
      </c>
      <c r="G24" s="4" t="s">
        <v>54</v>
      </c>
      <c r="H24" s="8" t="s">
        <v>138</v>
      </c>
      <c r="I24" s="9"/>
      <c r="J24" s="9">
        <v>0</v>
      </c>
      <c r="K24" s="17">
        <v>2</v>
      </c>
      <c r="L24" s="3">
        <f>_xlfn.NUMBERVALUE(INDEX(DisciplineDesignators[],MATCH(SHEETLIST[[#This Row],[DISCIPLINE NAME LOOKUP]],DisciplineDesignators[NAME],0),1)+SHEETLIST[[#This Row],[SHEET TYPE]])</f>
        <v>85</v>
      </c>
    </row>
    <row r="25" spans="1:12" ht="30" customHeight="1" x14ac:dyDescent="0.35">
      <c r="A25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A6-01</v>
      </c>
      <c r="B25" s="3" t="str">
        <f>IF(ISBLANK(SHEETLIST[[#This Row],[SHEET NAME MODIFIER]]),SHEETLIST[[#This Row],[SHEET TYPE LOOKUP]],SHEETLIST[[#This Row],[SHEET NAME MODIFIER]])</f>
        <v>SCHEDULES AND DETAILS - DOOR</v>
      </c>
      <c r="C25" s="4" t="s">
        <v>17</v>
      </c>
      <c r="D25" s="16" t="str">
        <f>INDEX(DisciplineDesignators[],MATCH(SHEETLIST[[#This Row],[DISCIPLINE NAME LOOKUP]],DisciplineDesignators[NAME],0),2)</f>
        <v>A</v>
      </c>
      <c r="E25" s="3">
        <f>INDEX(SheetTypes[],MATCH(SHEETLIST[[#This Row],[SHEET TYPE LOOKUP]],SheetTypes[NAME],0),1)</f>
        <v>6</v>
      </c>
      <c r="F25" s="7" t="s">
        <v>101</v>
      </c>
      <c r="G25" s="4" t="s">
        <v>55</v>
      </c>
      <c r="H25" s="8" t="s">
        <v>133</v>
      </c>
      <c r="I25" s="9"/>
      <c r="J25" s="9">
        <v>0</v>
      </c>
      <c r="K25" s="17">
        <v>1</v>
      </c>
      <c r="L25" s="3">
        <f>_xlfn.NUMBERVALUE(INDEX(DisciplineDesignators[],MATCH(SHEETLIST[[#This Row],[DISCIPLINE NAME LOOKUP]],DisciplineDesignators[NAME],0),1)+SHEETLIST[[#This Row],[SHEET TYPE]])</f>
        <v>86</v>
      </c>
    </row>
    <row r="26" spans="1:12" ht="30" customHeight="1" x14ac:dyDescent="0.35">
      <c r="A26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A6-02</v>
      </c>
      <c r="B26" s="3" t="str">
        <f>IF(ISBLANK(SHEETLIST[[#This Row],[SHEET NAME MODIFIER]]),SHEETLIST[[#This Row],[SHEET TYPE LOOKUP]],SHEETLIST[[#This Row],[SHEET NAME MODIFIER]])</f>
        <v>SCHEDULES AND DETAILS - WINDOW</v>
      </c>
      <c r="C26" s="4" t="s">
        <v>17</v>
      </c>
      <c r="D26" s="16" t="str">
        <f>INDEX(DisciplineDesignators[],MATCH(SHEETLIST[[#This Row],[DISCIPLINE NAME LOOKUP]],DisciplineDesignators[NAME],0),2)</f>
        <v>A</v>
      </c>
      <c r="E26" s="3">
        <f>INDEX(SheetTypes[],MATCH(SHEETLIST[[#This Row],[SHEET TYPE LOOKUP]],SheetTypes[NAME],0),1)</f>
        <v>6</v>
      </c>
      <c r="F26" s="7" t="s">
        <v>101</v>
      </c>
      <c r="G26" s="4" t="s">
        <v>55</v>
      </c>
      <c r="H26" s="8" t="s">
        <v>134</v>
      </c>
      <c r="I26" s="9"/>
      <c r="J26" s="9">
        <v>0</v>
      </c>
      <c r="K26" s="17">
        <v>2</v>
      </c>
      <c r="L26" s="3">
        <f>_xlfn.NUMBERVALUE(INDEX(DisciplineDesignators[],MATCH(SHEETLIST[[#This Row],[DISCIPLINE NAME LOOKUP]],DisciplineDesignators[NAME],0),1)+SHEETLIST[[#This Row],[SHEET TYPE]])</f>
        <v>86</v>
      </c>
    </row>
    <row r="27" spans="1:12" ht="30" customHeight="1" x14ac:dyDescent="0.35">
      <c r="A27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I2-01</v>
      </c>
      <c r="B27" s="3" t="str">
        <f>IF(ISBLANK(SHEETLIST[[#This Row],[SHEET NAME MODIFIER]]),SHEETLIST[[#This Row],[SHEET TYPE LOOKUP]],SHEETLIST[[#This Row],[SHEET NAME MODIFIER]])</f>
        <v>ELEVATIONS - INTERIOR</v>
      </c>
      <c r="C27" s="4" t="s">
        <v>19</v>
      </c>
      <c r="D27" s="16" t="str">
        <f>INDEX(DisciplineDesignators[],MATCH(SHEETLIST[[#This Row],[DISCIPLINE NAME LOOKUP]],DisciplineDesignators[NAME],0),2)</f>
        <v>I</v>
      </c>
      <c r="E27" s="3">
        <f>INDEX(SheetTypes[],MATCH(SHEETLIST[[#This Row],[SHEET TYPE LOOKUP]],SheetTypes[NAME],0),1)</f>
        <v>2</v>
      </c>
      <c r="F27" s="7" t="s">
        <v>101</v>
      </c>
      <c r="G27" s="4" t="s">
        <v>51</v>
      </c>
      <c r="H27" s="8" t="s">
        <v>139</v>
      </c>
      <c r="I27" s="9"/>
      <c r="J27" s="9">
        <v>0</v>
      </c>
      <c r="K27" s="17">
        <v>1</v>
      </c>
      <c r="L27" s="3">
        <f>_xlfn.NUMBERVALUE(INDEX(DisciplineDesignators[],MATCH(SHEETLIST[[#This Row],[DISCIPLINE NAME LOOKUP]],DisciplineDesignators[NAME],0),1)+SHEETLIST[[#This Row],[SHEET TYPE]])</f>
        <v>92</v>
      </c>
    </row>
    <row r="28" spans="1:12" ht="30" customHeight="1" x14ac:dyDescent="0.35">
      <c r="A28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I2-02</v>
      </c>
      <c r="B28" s="3" t="str">
        <f>IF(ISBLANK(SHEETLIST[[#This Row],[SHEET NAME MODIFIER]]),SHEETLIST[[#This Row],[SHEET TYPE LOOKUP]],SHEETLIST[[#This Row],[SHEET NAME MODIFIER]])</f>
        <v>ELEVATIONS - INTERIOR</v>
      </c>
      <c r="C28" s="4" t="s">
        <v>19</v>
      </c>
      <c r="D28" s="16" t="str">
        <f>INDEX(DisciplineDesignators[],MATCH(SHEETLIST[[#This Row],[DISCIPLINE NAME LOOKUP]],DisciplineDesignators[NAME],0),2)</f>
        <v>I</v>
      </c>
      <c r="E28" s="3">
        <f>INDEX(SheetTypes[],MATCH(SHEETLIST[[#This Row],[SHEET TYPE LOOKUP]],SheetTypes[NAME],0),1)</f>
        <v>2</v>
      </c>
      <c r="F28" s="7" t="s">
        <v>101</v>
      </c>
      <c r="G28" s="4" t="s">
        <v>51</v>
      </c>
      <c r="H28" s="8" t="s">
        <v>139</v>
      </c>
      <c r="I28" s="9"/>
      <c r="J28" s="9">
        <v>0</v>
      </c>
      <c r="K28" s="17">
        <v>2</v>
      </c>
      <c r="L28" s="3">
        <f>_xlfn.NUMBERVALUE(INDEX(DisciplineDesignators[],MATCH(SHEETLIST[[#This Row],[DISCIPLINE NAME LOOKUP]],DisciplineDesignators[NAME],0),1)+SHEETLIST[[#This Row],[SHEET TYPE]])</f>
        <v>92</v>
      </c>
    </row>
    <row r="29" spans="1:12" ht="30" customHeight="1" x14ac:dyDescent="0.35">
      <c r="A29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I2-03</v>
      </c>
      <c r="B29" s="3" t="str">
        <f>IF(ISBLANK(SHEETLIST[[#This Row],[SHEET NAME MODIFIER]]),SHEETLIST[[#This Row],[SHEET TYPE LOOKUP]],SHEETLIST[[#This Row],[SHEET NAME MODIFIER]])</f>
        <v>ELEVATIONS - INTERIOR</v>
      </c>
      <c r="C29" s="4" t="s">
        <v>19</v>
      </c>
      <c r="D29" s="16" t="str">
        <f>INDEX(DisciplineDesignators[],MATCH(SHEETLIST[[#This Row],[DISCIPLINE NAME LOOKUP]],DisciplineDesignators[NAME],0),2)</f>
        <v>I</v>
      </c>
      <c r="E29" s="3">
        <f>INDEX(SheetTypes[],MATCH(SHEETLIST[[#This Row],[SHEET TYPE LOOKUP]],SheetTypes[NAME],0),1)</f>
        <v>2</v>
      </c>
      <c r="F29" s="7" t="s">
        <v>101</v>
      </c>
      <c r="G29" s="4" t="s">
        <v>51</v>
      </c>
      <c r="H29" s="8" t="s">
        <v>139</v>
      </c>
      <c r="I29" s="9"/>
      <c r="J29" s="9">
        <v>0</v>
      </c>
      <c r="K29" s="17">
        <v>3</v>
      </c>
      <c r="L29" s="3">
        <f>_xlfn.NUMBERVALUE(INDEX(DisciplineDesignators[],MATCH(SHEETLIST[[#This Row],[DISCIPLINE NAME LOOKUP]],DisciplineDesignators[NAME],0),1)+SHEETLIST[[#This Row],[SHEET TYPE]])</f>
        <v>92</v>
      </c>
    </row>
    <row r="30" spans="1:12" ht="30" customHeight="1" x14ac:dyDescent="0.35">
      <c r="A30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I2-04</v>
      </c>
      <c r="B30" s="3" t="str">
        <f>IF(ISBLANK(SHEETLIST[[#This Row],[SHEET NAME MODIFIER]]),SHEETLIST[[#This Row],[SHEET TYPE LOOKUP]],SHEETLIST[[#This Row],[SHEET NAME MODIFIER]])</f>
        <v>ELEVATIONS - INTERIOR</v>
      </c>
      <c r="C30" s="4" t="s">
        <v>19</v>
      </c>
      <c r="D30" s="16" t="str">
        <f>INDEX(DisciplineDesignators[],MATCH(SHEETLIST[[#This Row],[DISCIPLINE NAME LOOKUP]],DisciplineDesignators[NAME],0),2)</f>
        <v>I</v>
      </c>
      <c r="E30" s="3">
        <f>INDEX(SheetTypes[],MATCH(SHEETLIST[[#This Row],[SHEET TYPE LOOKUP]],SheetTypes[NAME],0),1)</f>
        <v>2</v>
      </c>
      <c r="F30" s="7" t="s">
        <v>101</v>
      </c>
      <c r="G30" s="4" t="s">
        <v>51</v>
      </c>
      <c r="H30" s="8" t="s">
        <v>139</v>
      </c>
      <c r="I30" s="9"/>
      <c r="J30" s="9">
        <v>0</v>
      </c>
      <c r="K30" s="17">
        <v>4</v>
      </c>
      <c r="L30" s="3">
        <f>_xlfn.NUMBERVALUE(INDEX(DisciplineDesignators[],MATCH(SHEETLIST[[#This Row],[DISCIPLINE NAME LOOKUP]],DisciplineDesignators[NAME],0),1)+SHEETLIST[[#This Row],[SHEET TYPE]])</f>
        <v>92</v>
      </c>
    </row>
    <row r="31" spans="1:12" ht="30" customHeight="1" x14ac:dyDescent="0.35">
      <c r="A31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Q1-01</v>
      </c>
      <c r="B31" s="3" t="str">
        <f>IF(ISBLANK(SHEETLIST[[#This Row],[SHEET NAME MODIFIER]]),SHEETLIST[[#This Row],[SHEET TYPE LOOKUP]],SHEETLIST[[#This Row],[SHEET NAME MODIFIER]])</f>
        <v>PLAN - EQUIPMENT</v>
      </c>
      <c r="C31" s="4" t="s">
        <v>21</v>
      </c>
      <c r="D31" s="16" t="str">
        <f>INDEX(DisciplineDesignators[],MATCH(SHEETLIST[[#This Row],[DISCIPLINE NAME LOOKUP]],DisciplineDesignators[NAME],0),2)</f>
        <v>Q</v>
      </c>
      <c r="E31" s="3">
        <f>INDEX(SheetTypes[],MATCH(SHEETLIST[[#This Row],[SHEET TYPE LOOKUP]],SheetTypes[NAME],0),1)</f>
        <v>1</v>
      </c>
      <c r="F31" s="7" t="s">
        <v>101</v>
      </c>
      <c r="G31" s="4" t="s">
        <v>50</v>
      </c>
      <c r="H31" s="8" t="s">
        <v>140</v>
      </c>
      <c r="I31" s="9"/>
      <c r="J31" s="9">
        <v>0</v>
      </c>
      <c r="K31" s="17">
        <v>1</v>
      </c>
      <c r="L31" s="3">
        <f>_xlfn.NUMBERVALUE(INDEX(DisciplineDesignators[],MATCH(SHEETLIST[[#This Row],[DISCIPLINE NAME LOOKUP]],DisciplineDesignators[NAME],0),1)+SHEETLIST[[#This Row],[SHEET TYPE]])</f>
        <v>101</v>
      </c>
    </row>
    <row r="32" spans="1:12" ht="30" customHeight="1" x14ac:dyDescent="0.35">
      <c r="A32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Q6-01</v>
      </c>
      <c r="B32" s="3" t="str">
        <f>IF(ISBLANK(SHEETLIST[[#This Row],[SHEET NAME MODIFIER]]),SHEETLIST[[#This Row],[SHEET TYPE LOOKUP]],SHEETLIST[[#This Row],[SHEET NAME MODIFIER]])</f>
        <v>SCHEDULES - EQUIPMENT</v>
      </c>
      <c r="C32" s="4" t="s">
        <v>21</v>
      </c>
      <c r="D32" s="16" t="str">
        <f>INDEX(DisciplineDesignators[],MATCH(SHEETLIST[[#This Row],[DISCIPLINE NAME LOOKUP]],DisciplineDesignators[NAME],0),2)</f>
        <v>Q</v>
      </c>
      <c r="E32" s="3">
        <f>INDEX(SheetTypes[],MATCH(SHEETLIST[[#This Row],[SHEET TYPE LOOKUP]],SheetTypes[NAME],0),1)</f>
        <v>6</v>
      </c>
      <c r="F32" s="7" t="s">
        <v>101</v>
      </c>
      <c r="G32" s="4" t="s">
        <v>55</v>
      </c>
      <c r="H32" s="8" t="s">
        <v>132</v>
      </c>
      <c r="I32" s="9"/>
      <c r="J32" s="9">
        <v>0</v>
      </c>
      <c r="K32" s="17">
        <v>1</v>
      </c>
      <c r="L32" s="3">
        <f>_xlfn.NUMBERVALUE(INDEX(DisciplineDesignators[],MATCH(SHEETLIST[[#This Row],[DISCIPLINE NAME LOOKUP]],DisciplineDesignators[NAME],0),1)+SHEETLIST[[#This Row],[SHEET TYPE]])</f>
        <v>106</v>
      </c>
    </row>
    <row r="33" spans="1:12" ht="30" customHeight="1" x14ac:dyDescent="0.35">
      <c r="A33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S0-01</v>
      </c>
      <c r="B33" s="3" t="str">
        <f>IF(ISBLANK(SHEETLIST[[#This Row],[SHEET NAME MODIFIER]]),SHEETLIST[[#This Row],[SHEET TYPE LOOKUP]],SHEETLIST[[#This Row],[SHEET NAME MODIFIER]])</f>
        <v>SYMBOL LEGEND, ABBREVIATIONS, GENERAL NOTES, SPECIFICATIONS</v>
      </c>
      <c r="C33" s="4" t="s">
        <v>15</v>
      </c>
      <c r="D33" s="16" t="str">
        <f>INDEX(DisciplineDesignators[],MATCH(SHEETLIST[[#This Row],[DISCIPLINE NAME LOOKUP]],DisciplineDesignators[NAME],0),2)</f>
        <v>S</v>
      </c>
      <c r="E33" s="3">
        <f>INDEX(SheetTypes[],MATCH(SHEETLIST[[#This Row],[SHEET TYPE LOOKUP]],SheetTypes[NAME],0),1)</f>
        <v>0</v>
      </c>
      <c r="F33" s="7" t="s">
        <v>101</v>
      </c>
      <c r="G33" s="4" t="s">
        <v>108</v>
      </c>
      <c r="H33" s="6"/>
      <c r="I33" s="9"/>
      <c r="J33" s="9">
        <v>0</v>
      </c>
      <c r="K33" s="17">
        <v>1</v>
      </c>
      <c r="L33" s="3">
        <f>_xlfn.NUMBERVALUE(INDEX(DisciplineDesignators[],MATCH(SHEETLIST[[#This Row],[DISCIPLINE NAME LOOKUP]],DisciplineDesignators[NAME],0),1)+SHEETLIST[[#This Row],[SHEET TYPE]])</f>
        <v>70</v>
      </c>
    </row>
    <row r="34" spans="1:12" ht="30" customHeight="1" x14ac:dyDescent="0.35">
      <c r="A34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S0-02</v>
      </c>
      <c r="B34" s="3" t="str">
        <f>IF(ISBLANK(SHEETLIST[[#This Row],[SHEET NAME MODIFIER]]),SHEETLIST[[#This Row],[SHEET TYPE LOOKUP]],SHEETLIST[[#This Row],[SHEET NAME MODIFIER]])</f>
        <v>DESIGN CRITERIA</v>
      </c>
      <c r="C34" s="4" t="s">
        <v>15</v>
      </c>
      <c r="D34" s="16" t="str">
        <f>INDEX(DisciplineDesignators[],MATCH(SHEETLIST[[#This Row],[DISCIPLINE NAME LOOKUP]],DisciplineDesignators[NAME],0),2)</f>
        <v>S</v>
      </c>
      <c r="E34" s="3">
        <f>INDEX(SheetTypes[],MATCH(SHEETLIST[[#This Row],[SHEET TYPE LOOKUP]],SheetTypes[NAME],0),1)</f>
        <v>0</v>
      </c>
      <c r="F34" s="7" t="s">
        <v>101</v>
      </c>
      <c r="G34" s="4" t="s">
        <v>108</v>
      </c>
      <c r="H34" s="8" t="s">
        <v>120</v>
      </c>
      <c r="I34" s="9"/>
      <c r="J34" s="9">
        <v>0</v>
      </c>
      <c r="K34" s="17">
        <v>2</v>
      </c>
      <c r="L34" s="3">
        <f>_xlfn.NUMBERVALUE(INDEX(DisciplineDesignators[],MATCH(SHEETLIST[[#This Row],[DISCIPLINE NAME LOOKUP]],DisciplineDesignators[NAME],0),1)+SHEETLIST[[#This Row],[SHEET TYPE]])</f>
        <v>70</v>
      </c>
    </row>
    <row r="35" spans="1:12" ht="30" customHeight="1" x14ac:dyDescent="0.35">
      <c r="A35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S1-01</v>
      </c>
      <c r="B35" s="3" t="str">
        <f>IF(ISBLANK(SHEETLIST[[#This Row],[SHEET NAME MODIFIER]]),SHEETLIST[[#This Row],[SHEET TYPE LOOKUP]],SHEETLIST[[#This Row],[SHEET NAME MODIFIER]])</f>
        <v>CONSTRUCTION PLAN - FOUNDATIONS</v>
      </c>
      <c r="C35" s="4" t="s">
        <v>15</v>
      </c>
      <c r="D35" s="16" t="str">
        <f>INDEX(DisciplineDesignators[],MATCH(SHEETLIST[[#This Row],[DISCIPLINE NAME LOOKUP]],DisciplineDesignators[NAME],0),2)</f>
        <v>S</v>
      </c>
      <c r="E35" s="3">
        <f>INDEX(SheetTypes[],MATCH(SHEETLIST[[#This Row],[SHEET TYPE LOOKUP]],SheetTypes[NAME],0),1)</f>
        <v>1</v>
      </c>
      <c r="F35" s="7" t="s">
        <v>101</v>
      </c>
      <c r="G35" s="4" t="s">
        <v>50</v>
      </c>
      <c r="H35" s="8" t="s">
        <v>141</v>
      </c>
      <c r="I35" s="9"/>
      <c r="J35" s="9">
        <v>0</v>
      </c>
      <c r="K35" s="17">
        <v>1</v>
      </c>
      <c r="L35" s="3">
        <f>_xlfn.NUMBERVALUE(INDEX(DisciplineDesignators[],MATCH(SHEETLIST[[#This Row],[DISCIPLINE NAME LOOKUP]],DisciplineDesignators[NAME],0),1)+SHEETLIST[[#This Row],[SHEET TYPE]])</f>
        <v>71</v>
      </c>
    </row>
    <row r="36" spans="1:12" ht="30" customHeight="1" x14ac:dyDescent="0.35">
      <c r="A36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S1-02</v>
      </c>
      <c r="B36" s="3" t="str">
        <f>IF(ISBLANK(SHEETLIST[[#This Row],[SHEET NAME MODIFIER]]),SHEETLIST[[#This Row],[SHEET TYPE LOOKUP]],SHEETLIST[[#This Row],[SHEET NAME MODIFIER]])</f>
        <v>FRAMING PLAN - FLOOR</v>
      </c>
      <c r="C36" s="4" t="s">
        <v>15</v>
      </c>
      <c r="D36" s="16" t="str">
        <f>INDEX(DisciplineDesignators[],MATCH(SHEETLIST[[#This Row],[DISCIPLINE NAME LOOKUP]],DisciplineDesignators[NAME],0),2)</f>
        <v>S</v>
      </c>
      <c r="E36" s="3">
        <f>INDEX(SheetTypes[],MATCH(SHEETLIST[[#This Row],[SHEET TYPE LOOKUP]],SheetTypes[NAME],0),1)</f>
        <v>1</v>
      </c>
      <c r="F36" s="7" t="s">
        <v>101</v>
      </c>
      <c r="G36" s="4" t="s">
        <v>50</v>
      </c>
      <c r="H36" s="8" t="s">
        <v>121</v>
      </c>
      <c r="I36" s="9"/>
      <c r="J36" s="9">
        <v>0</v>
      </c>
      <c r="K36" s="17">
        <v>2</v>
      </c>
      <c r="L36" s="3">
        <f>_xlfn.NUMBERVALUE(INDEX(DisciplineDesignators[],MATCH(SHEETLIST[[#This Row],[DISCIPLINE NAME LOOKUP]],DisciplineDesignators[NAME],0),1)+SHEETLIST[[#This Row],[SHEET TYPE]])</f>
        <v>71</v>
      </c>
    </row>
    <row r="37" spans="1:12" ht="30" customHeight="1" x14ac:dyDescent="0.35">
      <c r="A37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S1-03</v>
      </c>
      <c r="B37" s="3" t="str">
        <f>IF(ISBLANK(SHEETLIST[[#This Row],[SHEET NAME MODIFIER]]),SHEETLIST[[#This Row],[SHEET TYPE LOOKUP]],SHEETLIST[[#This Row],[SHEET NAME MODIFIER]])</f>
        <v>FRAMING PLAN - ROOF</v>
      </c>
      <c r="C37" s="4" t="s">
        <v>15</v>
      </c>
      <c r="D37" s="16" t="str">
        <f>INDEX(DisciplineDesignators[],MATCH(SHEETLIST[[#This Row],[DISCIPLINE NAME LOOKUP]],DisciplineDesignators[NAME],0),2)</f>
        <v>S</v>
      </c>
      <c r="E37" s="3">
        <f>INDEX(SheetTypes[],MATCH(SHEETLIST[[#This Row],[SHEET TYPE LOOKUP]],SheetTypes[NAME],0),1)</f>
        <v>1</v>
      </c>
      <c r="F37" s="7" t="s">
        <v>101</v>
      </c>
      <c r="G37" s="4" t="s">
        <v>50</v>
      </c>
      <c r="H37" s="8" t="s">
        <v>122</v>
      </c>
      <c r="I37" s="9"/>
      <c r="J37" s="9">
        <v>0</v>
      </c>
      <c r="K37" s="17">
        <v>3</v>
      </c>
      <c r="L37" s="3">
        <f>_xlfn.NUMBERVALUE(INDEX(DisciplineDesignators[],MATCH(SHEETLIST[[#This Row],[DISCIPLINE NAME LOOKUP]],DisciplineDesignators[NAME],0),1)+SHEETLIST[[#This Row],[SHEET TYPE]])</f>
        <v>71</v>
      </c>
    </row>
    <row r="38" spans="1:12" ht="30" customHeight="1" x14ac:dyDescent="0.35">
      <c r="A38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S1-04</v>
      </c>
      <c r="B38" s="3" t="str">
        <f>IF(ISBLANK(SHEETLIST[[#This Row],[SHEET NAME MODIFIER]]),SHEETLIST[[#This Row],[SHEET TYPE LOOKUP]],SHEETLIST[[#This Row],[SHEET NAME MODIFIER]])</f>
        <v>FRAMING PLAN - CANOPY</v>
      </c>
      <c r="C38" s="4" t="s">
        <v>15</v>
      </c>
      <c r="D38" s="16" t="str">
        <f>INDEX(DisciplineDesignators[],MATCH(SHEETLIST[[#This Row],[DISCIPLINE NAME LOOKUP]],DisciplineDesignators[NAME],0),2)</f>
        <v>S</v>
      </c>
      <c r="E38" s="3">
        <f>INDEX(SheetTypes[],MATCH(SHEETLIST[[#This Row],[SHEET TYPE LOOKUP]],SheetTypes[NAME],0),1)</f>
        <v>1</v>
      </c>
      <c r="F38" s="7" t="s">
        <v>101</v>
      </c>
      <c r="G38" s="4" t="s">
        <v>50</v>
      </c>
      <c r="H38" s="8" t="s">
        <v>124</v>
      </c>
      <c r="I38" s="9"/>
      <c r="J38" s="9">
        <v>0</v>
      </c>
      <c r="K38" s="17">
        <v>4</v>
      </c>
      <c r="L38" s="3">
        <f>_xlfn.NUMBERVALUE(INDEX(DisciplineDesignators[],MATCH(SHEETLIST[[#This Row],[DISCIPLINE NAME LOOKUP]],DisciplineDesignators[NAME],0),1)+SHEETLIST[[#This Row],[SHEET TYPE]])</f>
        <v>71</v>
      </c>
    </row>
    <row r="39" spans="1:12" ht="30" customHeight="1" x14ac:dyDescent="0.35">
      <c r="A39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S3-01</v>
      </c>
      <c r="B39" s="3" t="str">
        <f>IF(ISBLANK(SHEETLIST[[#This Row],[SHEET NAME MODIFIER]]),SHEETLIST[[#This Row],[SHEET TYPE LOOKUP]],SHEETLIST[[#This Row],[SHEET NAME MODIFIER]])</f>
        <v>SECTION - CANOPY</v>
      </c>
      <c r="C39" s="4" t="s">
        <v>15</v>
      </c>
      <c r="D39" s="16" t="str">
        <f>INDEX(DisciplineDesignators[],MATCH(SHEETLIST[[#This Row],[DISCIPLINE NAME LOOKUP]],DisciplineDesignators[NAME],0),2)</f>
        <v>S</v>
      </c>
      <c r="E39" s="3">
        <f>INDEX(SheetTypes[],MATCH(SHEETLIST[[#This Row],[SHEET TYPE LOOKUP]],SheetTypes[NAME],0),1)</f>
        <v>3</v>
      </c>
      <c r="F39" s="7" t="s">
        <v>101</v>
      </c>
      <c r="G39" s="4" t="s">
        <v>52</v>
      </c>
      <c r="H39" s="8" t="s">
        <v>125</v>
      </c>
      <c r="I39" s="9"/>
      <c r="J39" s="9">
        <v>0</v>
      </c>
      <c r="K39" s="17">
        <v>1</v>
      </c>
      <c r="L39" s="3">
        <f>_xlfn.NUMBERVALUE(INDEX(DisciplineDesignators[],MATCH(SHEETLIST[[#This Row],[DISCIPLINE NAME LOOKUP]],DisciplineDesignators[NAME],0),1)+SHEETLIST[[#This Row],[SHEET TYPE]])</f>
        <v>73</v>
      </c>
    </row>
    <row r="40" spans="1:12" ht="30" customHeight="1" x14ac:dyDescent="0.35">
      <c r="A40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S3-02</v>
      </c>
      <c r="B40" s="3" t="str">
        <f>IF(ISBLANK(SHEETLIST[[#This Row],[SHEET NAME MODIFIER]]),SHEETLIST[[#This Row],[SHEET TYPE LOOKUP]],SHEETLIST[[#This Row],[SHEET NAME MODIFIER]])</f>
        <v>SECTION - CANOPY</v>
      </c>
      <c r="C40" s="4" t="s">
        <v>15</v>
      </c>
      <c r="D40" s="16" t="str">
        <f>INDEX(DisciplineDesignators[],MATCH(SHEETLIST[[#This Row],[DISCIPLINE NAME LOOKUP]],DisciplineDesignators[NAME],0),2)</f>
        <v>S</v>
      </c>
      <c r="E40" s="3">
        <f>INDEX(SheetTypes[],MATCH(SHEETLIST[[#This Row],[SHEET TYPE LOOKUP]],SheetTypes[NAME],0),1)</f>
        <v>3</v>
      </c>
      <c r="F40" s="7" t="s">
        <v>101</v>
      </c>
      <c r="G40" s="4" t="s">
        <v>52</v>
      </c>
      <c r="H40" s="8" t="s">
        <v>125</v>
      </c>
      <c r="I40" s="9"/>
      <c r="J40" s="9">
        <v>0</v>
      </c>
      <c r="K40" s="17">
        <v>2</v>
      </c>
      <c r="L40" s="3">
        <f>_xlfn.NUMBERVALUE(INDEX(DisciplineDesignators[],MATCH(SHEETLIST[[#This Row],[DISCIPLINE NAME LOOKUP]],DisciplineDesignators[NAME],0),1)+SHEETLIST[[#This Row],[SHEET TYPE]])</f>
        <v>73</v>
      </c>
    </row>
    <row r="41" spans="1:12" ht="30" customHeight="1" x14ac:dyDescent="0.35">
      <c r="A41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S5-01</v>
      </c>
      <c r="B41" s="3" t="str">
        <f>IF(ISBLANK(SHEETLIST[[#This Row],[SHEET NAME MODIFIER]]),SHEETLIST[[#This Row],[SHEET TYPE LOOKUP]],SHEETLIST[[#This Row],[SHEET NAME MODIFIER]])</f>
        <v>DETAILS - CANOPY FRAMING</v>
      </c>
      <c r="C41" s="4" t="s">
        <v>15</v>
      </c>
      <c r="D41" s="16" t="str">
        <f>INDEX(DisciplineDesignators[],MATCH(SHEETLIST[[#This Row],[DISCIPLINE NAME LOOKUP]],DisciplineDesignators[NAME],0),2)</f>
        <v>S</v>
      </c>
      <c r="E41" s="3">
        <f>INDEX(SheetTypes[],MATCH(SHEETLIST[[#This Row],[SHEET TYPE LOOKUP]],SheetTypes[NAME],0),1)</f>
        <v>5</v>
      </c>
      <c r="F41" s="7" t="s">
        <v>101</v>
      </c>
      <c r="G41" s="4" t="s">
        <v>54</v>
      </c>
      <c r="H41" s="8" t="s">
        <v>126</v>
      </c>
      <c r="I41" s="9"/>
      <c r="J41" s="9">
        <v>0</v>
      </c>
      <c r="K41" s="17">
        <v>1</v>
      </c>
      <c r="L41" s="3">
        <f>_xlfn.NUMBERVALUE(INDEX(DisciplineDesignators[],MATCH(SHEETLIST[[#This Row],[DISCIPLINE NAME LOOKUP]],DisciplineDesignators[NAME],0),1)+SHEETLIST[[#This Row],[SHEET TYPE]])</f>
        <v>75</v>
      </c>
    </row>
    <row r="42" spans="1:12" ht="30" customHeight="1" x14ac:dyDescent="0.35">
      <c r="A42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S5-02</v>
      </c>
      <c r="B42" s="3" t="str">
        <f>IF(ISBLANK(SHEETLIST[[#This Row],[SHEET NAME MODIFIER]]),SHEETLIST[[#This Row],[SHEET TYPE LOOKUP]],SHEETLIST[[#This Row],[SHEET NAME MODIFIER]])</f>
        <v>DETAILS - X BRACING DETAILS</v>
      </c>
      <c r="C42" s="4" t="s">
        <v>15</v>
      </c>
      <c r="D42" s="16" t="str">
        <f>INDEX(DisciplineDesignators[],MATCH(SHEETLIST[[#This Row],[DISCIPLINE NAME LOOKUP]],DisciplineDesignators[NAME],0),2)</f>
        <v>S</v>
      </c>
      <c r="E42" s="3">
        <f>INDEX(SheetTypes[],MATCH(SHEETLIST[[#This Row],[SHEET TYPE LOOKUP]],SheetTypes[NAME],0),1)</f>
        <v>5</v>
      </c>
      <c r="F42" s="7" t="s">
        <v>101</v>
      </c>
      <c r="G42" s="4" t="s">
        <v>54</v>
      </c>
      <c r="H42" s="8" t="s">
        <v>127</v>
      </c>
      <c r="I42" s="9"/>
      <c r="J42" s="9">
        <v>0</v>
      </c>
      <c r="K42" s="17">
        <v>2</v>
      </c>
      <c r="L42" s="3">
        <f>_xlfn.NUMBERVALUE(INDEX(DisciplineDesignators[],MATCH(SHEETLIST[[#This Row],[DISCIPLINE NAME LOOKUP]],DisciplineDesignators[NAME],0),1)+SHEETLIST[[#This Row],[SHEET TYPE]])</f>
        <v>75</v>
      </c>
    </row>
    <row r="43" spans="1:12" ht="30" customHeight="1" x14ac:dyDescent="0.35">
      <c r="A43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M0-01</v>
      </c>
      <c r="B43" s="3" t="str">
        <f>IF(ISBLANK(SHEETLIST[[#This Row],[SHEET NAME MODIFIER]]),SHEETLIST[[#This Row],[SHEET TYPE LOOKUP]],SHEETLIST[[#This Row],[SHEET NAME MODIFIER]])</f>
        <v>SYMBOL LEGEND, ABBREVIATIONS, GENERAL NOTES, SPECIFICATIONS</v>
      </c>
      <c r="C43" s="4" t="s">
        <v>29</v>
      </c>
      <c r="D43" s="16" t="str">
        <f>INDEX(DisciplineDesignators[],MATCH(SHEETLIST[[#This Row],[DISCIPLINE NAME LOOKUP]],DisciplineDesignators[NAME],0),2)</f>
        <v>M</v>
      </c>
      <c r="E43" s="3">
        <f>INDEX(SheetTypes[],MATCH(SHEETLIST[[#This Row],[SHEET TYPE LOOKUP]],SheetTypes[NAME],0),1)</f>
        <v>0</v>
      </c>
      <c r="F43" s="7" t="s">
        <v>101</v>
      </c>
      <c r="G43" s="4" t="s">
        <v>108</v>
      </c>
      <c r="H43" s="8"/>
      <c r="I43" s="9"/>
      <c r="J43" s="9">
        <v>0</v>
      </c>
      <c r="K43" s="17">
        <v>1</v>
      </c>
      <c r="L43" s="3">
        <f>_xlfn.NUMBERVALUE(INDEX(DisciplineDesignators[],MATCH(SHEETLIST[[#This Row],[DISCIPLINE NAME LOOKUP]],DisciplineDesignators[NAME],0),1)+SHEETLIST[[#This Row],[SHEET TYPE]])</f>
        <v>140</v>
      </c>
    </row>
    <row r="44" spans="1:12" ht="30" customHeight="1" x14ac:dyDescent="0.35">
      <c r="A44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M1-101</v>
      </c>
      <c r="B44" s="3" t="str">
        <f>IF(ISBLANK(SHEETLIST[[#This Row],[SHEET NAME MODIFIER]]),SHEETLIST[[#This Row],[SHEET TYPE LOOKUP]],SHEETLIST[[#This Row],[SHEET NAME MODIFIER]])</f>
        <v>MECHANICAL PLAN - FLOOR</v>
      </c>
      <c r="C44" s="4" t="s">
        <v>29</v>
      </c>
      <c r="D44" s="16" t="str">
        <f>INDEX(DisciplineDesignators[],MATCH(SHEETLIST[[#This Row],[DISCIPLINE NAME LOOKUP]],DisciplineDesignators[NAME],0),2)</f>
        <v>M</v>
      </c>
      <c r="E44" s="3">
        <f>INDEX(SheetTypes[],MATCH(SHEETLIST[[#This Row],[SHEET TYPE LOOKUP]],SheetTypes[NAME],0),1)</f>
        <v>1</v>
      </c>
      <c r="F44" s="7" t="s">
        <v>101</v>
      </c>
      <c r="G44" s="4" t="s">
        <v>50</v>
      </c>
      <c r="H44" s="8" t="s">
        <v>128</v>
      </c>
      <c r="I44" s="9">
        <v>1</v>
      </c>
      <c r="J44" s="9">
        <v>0</v>
      </c>
      <c r="K44" s="17">
        <v>1</v>
      </c>
      <c r="L44" s="3">
        <f>_xlfn.NUMBERVALUE(INDEX(DisciplineDesignators[],MATCH(SHEETLIST[[#This Row],[DISCIPLINE NAME LOOKUP]],DisciplineDesignators[NAME],0),1)+SHEETLIST[[#This Row],[SHEET TYPE]])</f>
        <v>141</v>
      </c>
    </row>
    <row r="45" spans="1:12" ht="30" customHeight="1" x14ac:dyDescent="0.35">
      <c r="A45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M1-102</v>
      </c>
      <c r="B45" s="3" t="str">
        <f>IF(ISBLANK(SHEETLIST[[#This Row],[SHEET NAME MODIFIER]]),SHEETLIST[[#This Row],[SHEET TYPE LOOKUP]],SHEETLIST[[#This Row],[SHEET NAME MODIFIER]])</f>
        <v>MECHANICAL PLAN - ROOF</v>
      </c>
      <c r="C45" s="4" t="s">
        <v>29</v>
      </c>
      <c r="D45" s="16" t="str">
        <f>INDEX(DisciplineDesignators[],MATCH(SHEETLIST[[#This Row],[DISCIPLINE NAME LOOKUP]],DisciplineDesignators[NAME],0),2)</f>
        <v>M</v>
      </c>
      <c r="E45" s="3">
        <f>INDEX(SheetTypes[],MATCH(SHEETLIST[[#This Row],[SHEET TYPE LOOKUP]],SheetTypes[NAME],0),1)</f>
        <v>1</v>
      </c>
      <c r="F45" s="7" t="s">
        <v>101</v>
      </c>
      <c r="G45" s="4" t="s">
        <v>50</v>
      </c>
      <c r="H45" s="8" t="s">
        <v>129</v>
      </c>
      <c r="I45" s="9">
        <v>1</v>
      </c>
      <c r="J45" s="9">
        <v>0</v>
      </c>
      <c r="K45" s="17">
        <v>2</v>
      </c>
      <c r="L45" s="3">
        <f>_xlfn.NUMBERVALUE(INDEX(DisciplineDesignators[],MATCH(SHEETLIST[[#This Row],[DISCIPLINE NAME LOOKUP]],DisciplineDesignators[NAME],0),1)+SHEETLIST[[#This Row],[SHEET TYPE]])</f>
        <v>141</v>
      </c>
    </row>
    <row r="46" spans="1:12" ht="30" customHeight="1" x14ac:dyDescent="0.35">
      <c r="A46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M5-01</v>
      </c>
      <c r="B46" s="3" t="str">
        <f>IF(ISBLANK(SHEETLIST[[#This Row],[SHEET NAME MODIFIER]]),SHEETLIST[[#This Row],[SHEET TYPE LOOKUP]],SHEETLIST[[#This Row],[SHEET NAME MODIFIER]])</f>
        <v>DETAILS - MECHANICAL</v>
      </c>
      <c r="C46" s="4" t="s">
        <v>29</v>
      </c>
      <c r="D46" s="16" t="str">
        <f>INDEX(DisciplineDesignators[],MATCH(SHEETLIST[[#This Row],[DISCIPLINE NAME LOOKUP]],DisciplineDesignators[NAME],0),2)</f>
        <v>M</v>
      </c>
      <c r="E46" s="3">
        <f>INDEX(SheetTypes[],MATCH(SHEETLIST[[#This Row],[SHEET TYPE LOOKUP]],SheetTypes[NAME],0),1)</f>
        <v>5</v>
      </c>
      <c r="F46" s="7" t="s">
        <v>101</v>
      </c>
      <c r="G46" s="4" t="s">
        <v>54</v>
      </c>
      <c r="H46" s="8" t="s">
        <v>130</v>
      </c>
      <c r="I46" s="9"/>
      <c r="J46" s="9">
        <v>0</v>
      </c>
      <c r="K46" s="17">
        <v>1</v>
      </c>
      <c r="L46" s="3">
        <f>_xlfn.NUMBERVALUE(INDEX(DisciplineDesignators[],MATCH(SHEETLIST[[#This Row],[DISCIPLINE NAME LOOKUP]],DisciplineDesignators[NAME],0),1)+SHEETLIST[[#This Row],[SHEET TYPE]])</f>
        <v>145</v>
      </c>
    </row>
    <row r="47" spans="1:12" ht="30" customHeight="1" x14ac:dyDescent="0.35">
      <c r="A47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M5-02</v>
      </c>
      <c r="B47" s="3" t="str">
        <f>IF(ISBLANK(SHEETLIST[[#This Row],[SHEET NAME MODIFIER]]),SHEETLIST[[#This Row],[SHEET TYPE LOOKUP]],SHEETLIST[[#This Row],[SHEET NAME MODIFIER]])</f>
        <v>DETAILS - MECHANICAL</v>
      </c>
      <c r="C47" s="4" t="s">
        <v>29</v>
      </c>
      <c r="D47" s="16" t="str">
        <f>INDEX(DisciplineDesignators[],MATCH(SHEETLIST[[#This Row],[DISCIPLINE NAME LOOKUP]],DisciplineDesignators[NAME],0),2)</f>
        <v>M</v>
      </c>
      <c r="E47" s="3">
        <f>INDEX(SheetTypes[],MATCH(SHEETLIST[[#This Row],[SHEET TYPE LOOKUP]],SheetTypes[NAME],0),1)</f>
        <v>5</v>
      </c>
      <c r="F47" s="7" t="s">
        <v>101</v>
      </c>
      <c r="G47" s="4" t="s">
        <v>54</v>
      </c>
      <c r="H47" s="8" t="s">
        <v>130</v>
      </c>
      <c r="I47" s="9"/>
      <c r="J47" s="9">
        <v>0</v>
      </c>
      <c r="K47" s="17">
        <v>2</v>
      </c>
      <c r="L47" s="3">
        <f>_xlfn.NUMBERVALUE(INDEX(DisciplineDesignators[],MATCH(SHEETLIST[[#This Row],[DISCIPLINE NAME LOOKUP]],DisciplineDesignators[NAME],0),1)+SHEETLIST[[#This Row],[SHEET TYPE]])</f>
        <v>145</v>
      </c>
    </row>
    <row r="48" spans="1:12" ht="30" customHeight="1" x14ac:dyDescent="0.35">
      <c r="A48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M6-01</v>
      </c>
      <c r="B48" s="3" t="str">
        <f>IF(ISBLANK(SHEETLIST[[#This Row],[SHEET NAME MODIFIER]]),SHEETLIST[[#This Row],[SHEET TYPE LOOKUP]],SHEETLIST[[#This Row],[SHEET NAME MODIFIER]])</f>
        <v>SCHEDULES - MECHANICAL</v>
      </c>
      <c r="C48" s="4" t="s">
        <v>29</v>
      </c>
      <c r="D48" s="16" t="str">
        <f>INDEX(DisciplineDesignators[],MATCH(SHEETLIST[[#This Row],[DISCIPLINE NAME LOOKUP]],DisciplineDesignators[NAME],0),2)</f>
        <v>M</v>
      </c>
      <c r="E48" s="3">
        <f>INDEX(SheetTypes[],MATCH(SHEETLIST[[#This Row],[SHEET TYPE LOOKUP]],SheetTypes[NAME],0),1)</f>
        <v>6</v>
      </c>
      <c r="F48" s="7" t="s">
        <v>101</v>
      </c>
      <c r="G48" s="4" t="s">
        <v>55</v>
      </c>
      <c r="H48" s="8" t="s">
        <v>131</v>
      </c>
      <c r="I48" s="9"/>
      <c r="J48" s="9">
        <v>0</v>
      </c>
      <c r="K48" s="17">
        <v>1</v>
      </c>
      <c r="L48" s="3">
        <f>_xlfn.NUMBERVALUE(INDEX(DisciplineDesignators[],MATCH(SHEETLIST[[#This Row],[DISCIPLINE NAME LOOKUP]],DisciplineDesignators[NAME],0),1)+SHEETLIST[[#This Row],[SHEET TYPE]])</f>
        <v>146</v>
      </c>
    </row>
    <row r="49" spans="1:12" ht="30" customHeight="1" x14ac:dyDescent="0.35">
      <c r="A49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P0-01</v>
      </c>
      <c r="B49" s="3" t="str">
        <f>IF(ISBLANK(SHEETLIST[[#This Row],[SHEET NAME MODIFIER]]),SHEETLIST[[#This Row],[SHEET TYPE LOOKUP]],SHEETLIST[[#This Row],[SHEET NAME MODIFIER]])</f>
        <v>SYMBOL LEGEND, ABBREVIATIONS, GENERAL NOTES, SPECIFICATIONS</v>
      </c>
      <c r="C49" s="4" t="s">
        <v>25</v>
      </c>
      <c r="D49" s="16" t="str">
        <f>INDEX(DisciplineDesignators[],MATCH(SHEETLIST[[#This Row],[DISCIPLINE NAME LOOKUP]],DisciplineDesignators[NAME],0),2)</f>
        <v>P</v>
      </c>
      <c r="E49" s="3">
        <f>INDEX(SheetTypes[],MATCH(SHEETLIST[[#This Row],[SHEET TYPE LOOKUP]],SheetTypes[NAME],0),1)</f>
        <v>0</v>
      </c>
      <c r="F49" s="7" t="s">
        <v>101</v>
      </c>
      <c r="G49" s="4" t="s">
        <v>108</v>
      </c>
      <c r="H49" s="8"/>
      <c r="I49" s="9"/>
      <c r="J49" s="9">
        <v>0</v>
      </c>
      <c r="K49" s="17">
        <v>1</v>
      </c>
      <c r="L49" s="3">
        <f>_xlfn.NUMBERVALUE(INDEX(DisciplineDesignators[],MATCH(SHEETLIST[[#This Row],[DISCIPLINE NAME LOOKUP]],DisciplineDesignators[NAME],0),1)+SHEETLIST[[#This Row],[SHEET TYPE]])</f>
        <v>120</v>
      </c>
    </row>
    <row r="50" spans="1:12" ht="30" customHeight="1" x14ac:dyDescent="0.35">
      <c r="A50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P1-101</v>
      </c>
      <c r="B50" s="3" t="str">
        <f>IF(ISBLANK(SHEETLIST[[#This Row],[SHEET NAME MODIFIER]]),SHEETLIST[[#This Row],[SHEET TYPE LOOKUP]],SHEETLIST[[#This Row],[SHEET NAME MODIFIER]])</f>
        <v>PLUMBING PLAN - DOMESTIC WATER - FLOOR</v>
      </c>
      <c r="C50" s="4" t="s">
        <v>25</v>
      </c>
      <c r="D50" s="16" t="str">
        <f>INDEX(DisciplineDesignators[],MATCH(SHEETLIST[[#This Row],[DISCIPLINE NAME LOOKUP]],DisciplineDesignators[NAME],0),2)</f>
        <v>P</v>
      </c>
      <c r="E50" s="3">
        <f>INDEX(SheetTypes[],MATCH(SHEETLIST[[#This Row],[SHEET TYPE LOOKUP]],SheetTypes[NAME],0),1)</f>
        <v>1</v>
      </c>
      <c r="F50" s="7" t="s">
        <v>101</v>
      </c>
      <c r="G50" s="4" t="s">
        <v>50</v>
      </c>
      <c r="H50" s="8" t="s">
        <v>142</v>
      </c>
      <c r="I50" s="9">
        <v>1</v>
      </c>
      <c r="J50" s="9">
        <v>0</v>
      </c>
      <c r="K50" s="17">
        <v>1</v>
      </c>
      <c r="L50" s="3">
        <f>_xlfn.NUMBERVALUE(INDEX(DisciplineDesignators[],MATCH(SHEETLIST[[#This Row],[DISCIPLINE NAME LOOKUP]],DisciplineDesignators[NAME],0),1)+SHEETLIST[[#This Row],[SHEET TYPE]])</f>
        <v>121</v>
      </c>
    </row>
    <row r="51" spans="1:12" ht="30" customHeight="1" x14ac:dyDescent="0.35">
      <c r="A51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P1-102</v>
      </c>
      <c r="B51" s="3" t="str">
        <f>IF(ISBLANK(SHEETLIST[[#This Row],[SHEET NAME MODIFIER]]),SHEETLIST[[#This Row],[SHEET TYPE LOOKUP]],SHEETLIST[[#This Row],[SHEET NAME MODIFIER]])</f>
        <v>PLUMBING PLAN - WASTE - FLOOR</v>
      </c>
      <c r="C51" s="4" t="s">
        <v>25</v>
      </c>
      <c r="D51" s="16" t="str">
        <f>INDEX(DisciplineDesignators[],MATCH(SHEETLIST[[#This Row],[DISCIPLINE NAME LOOKUP]],DisciplineDesignators[NAME],0),2)</f>
        <v>P</v>
      </c>
      <c r="E51" s="3">
        <f>INDEX(SheetTypes[],MATCH(SHEETLIST[[#This Row],[SHEET TYPE LOOKUP]],SheetTypes[NAME],0),1)</f>
        <v>1</v>
      </c>
      <c r="F51" s="7" t="s">
        <v>101</v>
      </c>
      <c r="G51" s="4" t="s">
        <v>50</v>
      </c>
      <c r="H51" s="8" t="s">
        <v>143</v>
      </c>
      <c r="I51" s="9">
        <v>1</v>
      </c>
      <c r="J51" s="9">
        <v>0</v>
      </c>
      <c r="K51" s="17">
        <v>2</v>
      </c>
      <c r="L51" s="3">
        <f>_xlfn.NUMBERVALUE(INDEX(DisciplineDesignators[],MATCH(SHEETLIST[[#This Row],[DISCIPLINE NAME LOOKUP]],DisciplineDesignators[NAME],0),1)+SHEETLIST[[#This Row],[SHEET TYPE]])</f>
        <v>121</v>
      </c>
    </row>
    <row r="52" spans="1:12" ht="30" customHeight="1" x14ac:dyDescent="0.35">
      <c r="A52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P1-103</v>
      </c>
      <c r="B52" s="3" t="str">
        <f>IF(ISBLANK(SHEETLIST[[#This Row],[SHEET NAME MODIFIER]]),SHEETLIST[[#This Row],[SHEET TYPE LOOKUP]],SHEETLIST[[#This Row],[SHEET NAME MODIFIER]])</f>
        <v>PLUMBING PLAN - ROOF</v>
      </c>
      <c r="C52" s="4" t="s">
        <v>25</v>
      </c>
      <c r="D52" s="16" t="str">
        <f>INDEX(DisciplineDesignators[],MATCH(SHEETLIST[[#This Row],[DISCIPLINE NAME LOOKUP]],DisciplineDesignators[NAME],0),2)</f>
        <v>P</v>
      </c>
      <c r="E52" s="3">
        <f>INDEX(SheetTypes[],MATCH(SHEETLIST[[#This Row],[SHEET TYPE LOOKUP]],SheetTypes[NAME],0),1)</f>
        <v>1</v>
      </c>
      <c r="F52" s="7" t="s">
        <v>101</v>
      </c>
      <c r="G52" s="4" t="s">
        <v>50</v>
      </c>
      <c r="H52" s="8" t="s">
        <v>144</v>
      </c>
      <c r="I52" s="9">
        <v>1</v>
      </c>
      <c r="J52" s="9">
        <v>0</v>
      </c>
      <c r="K52" s="17">
        <v>3</v>
      </c>
      <c r="L52" s="3">
        <f>_xlfn.NUMBERVALUE(INDEX(DisciplineDesignators[],MATCH(SHEETLIST[[#This Row],[DISCIPLINE NAME LOOKUP]],DisciplineDesignators[NAME],0),1)+SHEETLIST[[#This Row],[SHEET TYPE]])</f>
        <v>121</v>
      </c>
    </row>
    <row r="53" spans="1:12" ht="30" customHeight="1" x14ac:dyDescent="0.35">
      <c r="A53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P1-104</v>
      </c>
      <c r="B53" s="3" t="str">
        <f>IF(ISBLANK(SHEETLIST[[#This Row],[SHEET NAME MODIFIER]]),SHEETLIST[[#This Row],[SHEET TYPE LOOKUP]],SHEETLIST[[#This Row],[SHEET NAME MODIFIER]])</f>
        <v>PLUMBING PLAN - RISER</v>
      </c>
      <c r="C53" s="4" t="s">
        <v>25</v>
      </c>
      <c r="D53" s="16" t="str">
        <f>INDEX(DisciplineDesignators[],MATCH(SHEETLIST[[#This Row],[DISCIPLINE NAME LOOKUP]],DisciplineDesignators[NAME],0),2)</f>
        <v>P</v>
      </c>
      <c r="E53" s="3">
        <f>INDEX(SheetTypes[],MATCH(SHEETLIST[[#This Row],[SHEET TYPE LOOKUP]],SheetTypes[NAME],0),1)</f>
        <v>1</v>
      </c>
      <c r="F53" s="7" t="s">
        <v>101</v>
      </c>
      <c r="G53" s="4" t="s">
        <v>50</v>
      </c>
      <c r="H53" s="8" t="s">
        <v>145</v>
      </c>
      <c r="I53" s="9">
        <v>1</v>
      </c>
      <c r="J53" s="9">
        <v>0</v>
      </c>
      <c r="K53" s="17">
        <v>4</v>
      </c>
      <c r="L53" s="3">
        <f>_xlfn.NUMBERVALUE(INDEX(DisciplineDesignators[],MATCH(SHEETLIST[[#This Row],[DISCIPLINE NAME LOOKUP]],DisciplineDesignators[NAME],0),1)+SHEETLIST[[#This Row],[SHEET TYPE]])</f>
        <v>121</v>
      </c>
    </row>
    <row r="54" spans="1:12" ht="30" customHeight="1" x14ac:dyDescent="0.35">
      <c r="A54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P5-01</v>
      </c>
      <c r="B54" s="3" t="str">
        <f>IF(ISBLANK(SHEETLIST[[#This Row],[SHEET NAME MODIFIER]]),SHEETLIST[[#This Row],[SHEET TYPE LOOKUP]],SHEETLIST[[#This Row],[SHEET NAME MODIFIER]])</f>
        <v>DETAILS - PLUMBING</v>
      </c>
      <c r="C54" s="4" t="s">
        <v>25</v>
      </c>
      <c r="D54" s="16" t="str">
        <f>INDEX(DisciplineDesignators[],MATCH(SHEETLIST[[#This Row],[DISCIPLINE NAME LOOKUP]],DisciplineDesignators[NAME],0),2)</f>
        <v>P</v>
      </c>
      <c r="E54" s="3">
        <f>INDEX(SheetTypes[],MATCH(SHEETLIST[[#This Row],[SHEET TYPE LOOKUP]],SheetTypes[NAME],0),1)</f>
        <v>5</v>
      </c>
      <c r="F54" s="7" t="s">
        <v>101</v>
      </c>
      <c r="G54" s="4" t="s">
        <v>54</v>
      </c>
      <c r="H54" s="8" t="s">
        <v>146</v>
      </c>
      <c r="I54" s="9"/>
      <c r="J54" s="9">
        <v>0</v>
      </c>
      <c r="K54" s="17">
        <v>1</v>
      </c>
      <c r="L54" s="3">
        <f>_xlfn.NUMBERVALUE(INDEX(DisciplineDesignators[],MATCH(SHEETLIST[[#This Row],[DISCIPLINE NAME LOOKUP]],DisciplineDesignators[NAME],0),1)+SHEETLIST[[#This Row],[SHEET TYPE]])</f>
        <v>125</v>
      </c>
    </row>
    <row r="55" spans="1:12" ht="30" customHeight="1" x14ac:dyDescent="0.35">
      <c r="A55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P5-02</v>
      </c>
      <c r="B55" s="3" t="str">
        <f>IF(ISBLANK(SHEETLIST[[#This Row],[SHEET NAME MODIFIER]]),SHEETLIST[[#This Row],[SHEET TYPE LOOKUP]],SHEETLIST[[#This Row],[SHEET NAME MODIFIER]])</f>
        <v>DETAILS - PLUMBING</v>
      </c>
      <c r="C55" s="4" t="s">
        <v>25</v>
      </c>
      <c r="D55" s="16" t="str">
        <f>INDEX(DisciplineDesignators[],MATCH(SHEETLIST[[#This Row],[DISCIPLINE NAME LOOKUP]],DisciplineDesignators[NAME],0),2)</f>
        <v>P</v>
      </c>
      <c r="E55" s="3">
        <f>INDEX(SheetTypes[],MATCH(SHEETLIST[[#This Row],[SHEET TYPE LOOKUP]],SheetTypes[NAME],0),1)</f>
        <v>5</v>
      </c>
      <c r="F55" s="7" t="s">
        <v>101</v>
      </c>
      <c r="G55" s="4" t="s">
        <v>54</v>
      </c>
      <c r="H55" s="8" t="s">
        <v>146</v>
      </c>
      <c r="I55" s="9"/>
      <c r="J55" s="9">
        <v>0</v>
      </c>
      <c r="K55" s="17">
        <v>2</v>
      </c>
      <c r="L55" s="3">
        <f>_xlfn.NUMBERVALUE(INDEX(DisciplineDesignators[],MATCH(SHEETLIST[[#This Row],[DISCIPLINE NAME LOOKUP]],DisciplineDesignators[NAME],0),1)+SHEETLIST[[#This Row],[SHEET TYPE]])</f>
        <v>125</v>
      </c>
    </row>
    <row r="56" spans="1:12" ht="30" customHeight="1" x14ac:dyDescent="0.35">
      <c r="A56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E0-01</v>
      </c>
      <c r="B56" s="3" t="str">
        <f>IF(ISBLANK(SHEETLIST[[#This Row],[SHEET NAME MODIFIER]]),SHEETLIST[[#This Row],[SHEET TYPE LOOKUP]],SHEETLIST[[#This Row],[SHEET NAME MODIFIER]])</f>
        <v>SYMBOL LEGEND, ABBREVIATIONS, GENERAL NOTES, SPECIFICATIONS</v>
      </c>
      <c r="C56" s="4" t="s">
        <v>31</v>
      </c>
      <c r="D56" s="16" t="str">
        <f>INDEX(DisciplineDesignators[],MATCH(SHEETLIST[[#This Row],[DISCIPLINE NAME LOOKUP]],DisciplineDesignators[NAME],0),2)</f>
        <v>E</v>
      </c>
      <c r="E56" s="3">
        <f>INDEX(SheetTypes[],MATCH(SHEETLIST[[#This Row],[SHEET TYPE LOOKUP]],SheetTypes[NAME],0),1)</f>
        <v>0</v>
      </c>
      <c r="F56" s="7" t="s">
        <v>101</v>
      </c>
      <c r="G56" s="4" t="s">
        <v>108</v>
      </c>
      <c r="H56" s="8"/>
      <c r="I56" s="9"/>
      <c r="J56" s="9">
        <v>0</v>
      </c>
      <c r="K56" s="17">
        <v>1</v>
      </c>
      <c r="L56" s="3">
        <f>_xlfn.NUMBERVALUE(INDEX(DisciplineDesignators[],MATCH(SHEETLIST[[#This Row],[DISCIPLINE NAME LOOKUP]],DisciplineDesignators[NAME],0),1)+SHEETLIST[[#This Row],[SHEET TYPE]])</f>
        <v>150</v>
      </c>
    </row>
    <row r="57" spans="1:12" ht="30" customHeight="1" x14ac:dyDescent="0.35">
      <c r="A57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E0-02</v>
      </c>
      <c r="B57" s="3" t="str">
        <f>IF(ISBLANK(SHEETLIST[[#This Row],[SHEET NAME MODIFIER]]),SHEETLIST[[#This Row],[SHEET TYPE LOOKUP]],SHEETLIST[[#This Row],[SHEET NAME MODIFIER]])</f>
        <v>ELECTRICAL DIAGRAM AND CALCULATIONS</v>
      </c>
      <c r="C57" s="4" t="s">
        <v>31</v>
      </c>
      <c r="D57" s="16" t="str">
        <f>INDEX(DisciplineDesignators[],MATCH(SHEETLIST[[#This Row],[DISCIPLINE NAME LOOKUP]],DisciplineDesignators[NAME],0),2)</f>
        <v>E</v>
      </c>
      <c r="E57" s="3">
        <f>INDEX(SheetTypes[],MATCH(SHEETLIST[[#This Row],[SHEET TYPE LOOKUP]],SheetTypes[NAME],0),1)</f>
        <v>0</v>
      </c>
      <c r="F57" s="7" t="s">
        <v>101</v>
      </c>
      <c r="G57" s="4" t="s">
        <v>108</v>
      </c>
      <c r="H57" s="8" t="s">
        <v>147</v>
      </c>
      <c r="I57" s="9"/>
      <c r="J57" s="9">
        <v>0</v>
      </c>
      <c r="K57" s="17">
        <v>2</v>
      </c>
      <c r="L57" s="3">
        <f>_xlfn.NUMBERVALUE(INDEX(DisciplineDesignators[],MATCH(SHEETLIST[[#This Row],[DISCIPLINE NAME LOOKUP]],DisciplineDesignators[NAME],0),1)+SHEETLIST[[#This Row],[SHEET TYPE]])</f>
        <v>150</v>
      </c>
    </row>
    <row r="58" spans="1:12" ht="30" customHeight="1" x14ac:dyDescent="0.35">
      <c r="A58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E1-01</v>
      </c>
      <c r="B58" s="3" t="str">
        <f>IF(ISBLANK(SHEETLIST[[#This Row],[SHEET NAME MODIFIER]]),SHEETLIST[[#This Row],[SHEET TYPE LOOKUP]],SHEETLIST[[#This Row],[SHEET NAME MODIFIER]])</f>
        <v>ELECTRICAL PLAN - LIGHTING</v>
      </c>
      <c r="C58" s="4" t="s">
        <v>31</v>
      </c>
      <c r="D58" s="16" t="str">
        <f>INDEX(DisciplineDesignators[],MATCH(SHEETLIST[[#This Row],[DISCIPLINE NAME LOOKUP]],DisciplineDesignators[NAME],0),2)</f>
        <v>E</v>
      </c>
      <c r="E58" s="3">
        <f>INDEX(SheetTypes[],MATCH(SHEETLIST[[#This Row],[SHEET TYPE LOOKUP]],SheetTypes[NAME],0),1)</f>
        <v>1</v>
      </c>
      <c r="F58" s="7" t="s">
        <v>101</v>
      </c>
      <c r="G58" s="4" t="s">
        <v>50</v>
      </c>
      <c r="H58" s="8" t="s">
        <v>148</v>
      </c>
      <c r="I58" s="9"/>
      <c r="J58" s="9">
        <v>0</v>
      </c>
      <c r="K58" s="17">
        <v>1</v>
      </c>
      <c r="L58" s="3">
        <f>_xlfn.NUMBERVALUE(INDEX(DisciplineDesignators[],MATCH(SHEETLIST[[#This Row],[DISCIPLINE NAME LOOKUP]],DisciplineDesignators[NAME],0),1)+SHEETLIST[[#This Row],[SHEET TYPE]])</f>
        <v>151</v>
      </c>
    </row>
    <row r="59" spans="1:12" ht="30" customHeight="1" x14ac:dyDescent="0.35">
      <c r="A59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E1-02</v>
      </c>
      <c r="B59" s="3" t="str">
        <f>IF(ISBLANK(SHEETLIST[[#This Row],[SHEET NAME MODIFIER]]),SHEETLIST[[#This Row],[SHEET TYPE LOOKUP]],SHEETLIST[[#This Row],[SHEET NAME MODIFIER]])</f>
        <v>ELECTRICAL PLAN - POWER</v>
      </c>
      <c r="C59" s="4" t="s">
        <v>31</v>
      </c>
      <c r="D59" s="16" t="str">
        <f>INDEX(DisciplineDesignators[],MATCH(SHEETLIST[[#This Row],[DISCIPLINE NAME LOOKUP]],DisciplineDesignators[NAME],0),2)</f>
        <v>E</v>
      </c>
      <c r="E59" s="3">
        <f>INDEX(SheetTypes[],MATCH(SHEETLIST[[#This Row],[SHEET TYPE LOOKUP]],SheetTypes[NAME],0),1)</f>
        <v>1</v>
      </c>
      <c r="F59" s="7" t="s">
        <v>101</v>
      </c>
      <c r="G59" s="4" t="s">
        <v>50</v>
      </c>
      <c r="H59" s="8" t="s">
        <v>149</v>
      </c>
      <c r="I59" s="9"/>
      <c r="J59" s="9">
        <v>0</v>
      </c>
      <c r="K59" s="17">
        <v>2</v>
      </c>
      <c r="L59" s="3">
        <f>_xlfn.NUMBERVALUE(INDEX(DisciplineDesignators[],MATCH(SHEETLIST[[#This Row],[DISCIPLINE NAME LOOKUP]],DisciplineDesignators[NAME],0),1)+SHEETLIST[[#This Row],[SHEET TYPE]])</f>
        <v>151</v>
      </c>
    </row>
    <row r="60" spans="1:12" ht="30" customHeight="1" x14ac:dyDescent="0.35">
      <c r="A60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E1-03</v>
      </c>
      <c r="B60" s="3" t="str">
        <f>IF(ISBLANK(SHEETLIST[[#This Row],[SHEET NAME MODIFIER]]),SHEETLIST[[#This Row],[SHEET TYPE LOOKUP]],SHEETLIST[[#This Row],[SHEET NAME MODIFIER]])</f>
        <v>ELECTRICAL PLAN - POWER - ROOF</v>
      </c>
      <c r="C60" s="4" t="s">
        <v>31</v>
      </c>
      <c r="D60" s="16" t="str">
        <f>INDEX(DisciplineDesignators[],MATCH(SHEETLIST[[#This Row],[DISCIPLINE NAME LOOKUP]],DisciplineDesignators[NAME],0),2)</f>
        <v>E</v>
      </c>
      <c r="E60" s="3">
        <f>INDEX(SheetTypes[],MATCH(SHEETLIST[[#This Row],[SHEET TYPE LOOKUP]],SheetTypes[NAME],0),1)</f>
        <v>1</v>
      </c>
      <c r="F60" s="7" t="s">
        <v>101</v>
      </c>
      <c r="G60" s="4" t="s">
        <v>50</v>
      </c>
      <c r="H60" s="8" t="s">
        <v>150</v>
      </c>
      <c r="I60" s="9"/>
      <c r="J60" s="9">
        <v>0</v>
      </c>
      <c r="K60" s="17">
        <v>3</v>
      </c>
      <c r="L60" s="3">
        <f>_xlfn.NUMBERVALUE(INDEX(DisciplineDesignators[],MATCH(SHEETLIST[[#This Row],[DISCIPLINE NAME LOOKUP]],DisciplineDesignators[NAME],0),1)+SHEETLIST[[#This Row],[SHEET TYPE]])</f>
        <v>151</v>
      </c>
    </row>
    <row r="61" spans="1:12" ht="30" customHeight="1" x14ac:dyDescent="0.35">
      <c r="A61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E1-04</v>
      </c>
      <c r="B61" s="3" t="str">
        <f>IF(ISBLANK(SHEETLIST[[#This Row],[SHEET NAME MODIFIER]]),SHEETLIST[[#This Row],[SHEET TYPE LOOKUP]],SHEETLIST[[#This Row],[SHEET NAME MODIFIER]])</f>
        <v>ELECTRICAL PLAN - SITE</v>
      </c>
      <c r="C61" s="4" t="s">
        <v>31</v>
      </c>
      <c r="D61" s="16" t="str">
        <f>INDEX(DisciplineDesignators[],MATCH(SHEETLIST[[#This Row],[DISCIPLINE NAME LOOKUP]],DisciplineDesignators[NAME],0),2)</f>
        <v>E</v>
      </c>
      <c r="E61" s="3">
        <f>INDEX(SheetTypes[],MATCH(SHEETLIST[[#This Row],[SHEET TYPE LOOKUP]],SheetTypes[NAME],0),1)</f>
        <v>1</v>
      </c>
      <c r="F61" s="7" t="s">
        <v>101</v>
      </c>
      <c r="G61" s="4" t="s">
        <v>50</v>
      </c>
      <c r="H61" s="8" t="s">
        <v>151</v>
      </c>
      <c r="I61" s="9"/>
      <c r="J61" s="9">
        <v>0</v>
      </c>
      <c r="K61" s="17">
        <v>4</v>
      </c>
      <c r="L61" s="3">
        <f>_xlfn.NUMBERVALUE(INDEX(DisciplineDesignators[],MATCH(SHEETLIST[[#This Row],[DISCIPLINE NAME LOOKUP]],DisciplineDesignators[NAME],0),1)+SHEETLIST[[#This Row],[SHEET TYPE]])</f>
        <v>151</v>
      </c>
    </row>
    <row r="62" spans="1:12" ht="30" customHeight="1" x14ac:dyDescent="0.35">
      <c r="A62" s="3" t="str">
        <f>SHEETLIST[[#This Row],[DESIGNATOR]]&amp;SHEETLIST[[#This Row],[SHEET TYPE]]&amp;IF(ISBLANK(SHEETLIST[[#This Row],[SEPARATOR]]),"",SHEETLIST[[#This Row],[SEPARATOR]])&amp;SHEETLIST[[#This Row],[LEVEL]]&amp;IF(ISBLANK(SHEETLIST[[#This Row],[SEPARATOR2]]),"",SHEETLIST[[#This Row],[SEPARATOR2]])&amp;SHEETLIST[[#This Row],[SEQUENCE NUMBER]]</f>
        <v>E6-01</v>
      </c>
      <c r="B62" s="3" t="str">
        <f>IF(ISBLANK(SHEETLIST[[#This Row],[SHEET NAME MODIFIER]]),SHEETLIST[[#This Row],[SHEET TYPE LOOKUP]],SHEETLIST[[#This Row],[SHEET NAME MODIFIER]])</f>
        <v>ELECTRICAL PANEL SCHEDULES</v>
      </c>
      <c r="C62" s="4" t="s">
        <v>31</v>
      </c>
      <c r="D62" s="16" t="str">
        <f>INDEX(DisciplineDesignators[],MATCH(SHEETLIST[[#This Row],[DISCIPLINE NAME LOOKUP]],DisciplineDesignators[NAME],0),2)</f>
        <v>E</v>
      </c>
      <c r="E62" s="3">
        <f>INDEX(SheetTypes[],MATCH(SHEETLIST[[#This Row],[SHEET TYPE LOOKUP]],SheetTypes[NAME],0),1)</f>
        <v>6</v>
      </c>
      <c r="F62" s="7" t="s">
        <v>101</v>
      </c>
      <c r="G62" s="4" t="s">
        <v>55</v>
      </c>
      <c r="H62" s="8" t="s">
        <v>152</v>
      </c>
      <c r="I62" s="9"/>
      <c r="J62" s="9">
        <v>0</v>
      </c>
      <c r="K62" s="17">
        <v>1</v>
      </c>
      <c r="L62" s="3">
        <f>_xlfn.NUMBERVALUE(INDEX(DisciplineDesignators[],MATCH(SHEETLIST[[#This Row],[DISCIPLINE NAME LOOKUP]],DisciplineDesignators[NAME],0),1)+SHEETLIST[[#This Row],[SHEET TYPE]])</f>
        <v>156</v>
      </c>
    </row>
  </sheetData>
  <phoneticPr fontId="2" type="noConversion"/>
  <conditionalFormatting sqref="A2:A62">
    <cfRule type="duplicateValues" dxfId="0" priority="6"/>
  </conditionalFormatting>
  <dataValidations count="2">
    <dataValidation type="list" allowBlank="1" showInputMessage="1" showErrorMessage="1" sqref="C2:C62" xr:uid="{24D13D82-26B2-45EC-9632-54A2F9E1B607}">
      <formula1>INDIRECT("DisciplineDesignators[NAME]")</formula1>
    </dataValidation>
    <dataValidation type="list" allowBlank="1" showInputMessage="1" showErrorMessage="1" sqref="G2:G62" xr:uid="{C198A58B-DF52-4158-8A05-B0BE169CF78F}">
      <formula1>INDIRECT("SheetTypes[NAME]")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253B-4E1B-4EB5-A0FD-95EC870EF8DE}">
  <dimension ref="A1:D37"/>
  <sheetViews>
    <sheetView topLeftCell="A13" workbookViewId="0">
      <selection activeCell="A39" sqref="A39"/>
    </sheetView>
  </sheetViews>
  <sheetFormatPr defaultRowHeight="30" customHeight="1" x14ac:dyDescent="0.35"/>
  <cols>
    <col min="2" max="2" width="17.6328125" style="1" customWidth="1"/>
    <col min="3" max="3" width="44" customWidth="1"/>
    <col min="4" max="4" width="56.26953125" customWidth="1"/>
  </cols>
  <sheetData>
    <row r="1" spans="1:4" ht="30" customHeight="1" x14ac:dyDescent="0.35">
      <c r="A1" t="s">
        <v>112</v>
      </c>
      <c r="B1" s="2" t="s">
        <v>47</v>
      </c>
      <c r="C1" t="s">
        <v>48</v>
      </c>
      <c r="D1" t="s">
        <v>49</v>
      </c>
    </row>
    <row r="3" spans="1:4" ht="30" customHeight="1" x14ac:dyDescent="0.35">
      <c r="A3">
        <v>0</v>
      </c>
      <c r="B3" s="1" t="s">
        <v>0</v>
      </c>
      <c r="C3" t="s">
        <v>1</v>
      </c>
    </row>
    <row r="4" spans="1:4" ht="30" customHeight="1" x14ac:dyDescent="0.35">
      <c r="A4">
        <v>10</v>
      </c>
      <c r="B4" s="1" t="s">
        <v>2</v>
      </c>
      <c r="C4" t="s">
        <v>3</v>
      </c>
      <c r="D4" t="s">
        <v>44</v>
      </c>
    </row>
    <row r="5" spans="1:4" ht="30" customHeight="1" x14ac:dyDescent="0.35">
      <c r="A5">
        <v>20</v>
      </c>
      <c r="B5" s="1" t="s">
        <v>4</v>
      </c>
      <c r="C5" t="s">
        <v>5</v>
      </c>
      <c r="D5" t="s">
        <v>45</v>
      </c>
    </row>
    <row r="6" spans="1:4" ht="30" customHeight="1" x14ac:dyDescent="0.35">
      <c r="A6">
        <v>30</v>
      </c>
      <c r="B6" s="1" t="s">
        <v>6</v>
      </c>
      <c r="C6" t="s">
        <v>7</v>
      </c>
    </row>
    <row r="7" spans="1:4" ht="30" customHeight="1" x14ac:dyDescent="0.35">
      <c r="A7">
        <v>40</v>
      </c>
      <c r="B7" s="1" t="s">
        <v>8</v>
      </c>
      <c r="C7" t="s">
        <v>9</v>
      </c>
    </row>
    <row r="8" spans="1:4" ht="30" customHeight="1" x14ac:dyDescent="0.35">
      <c r="A8">
        <v>50</v>
      </c>
      <c r="B8" s="1" t="s">
        <v>10</v>
      </c>
      <c r="C8" t="s">
        <v>11</v>
      </c>
    </row>
    <row r="9" spans="1:4" ht="30" customHeight="1" x14ac:dyDescent="0.35">
      <c r="A9">
        <v>60</v>
      </c>
      <c r="B9" s="1" t="s">
        <v>12</v>
      </c>
      <c r="C9" t="s">
        <v>13</v>
      </c>
    </row>
    <row r="10" spans="1:4" ht="30" customHeight="1" x14ac:dyDescent="0.35">
      <c r="A10">
        <v>70</v>
      </c>
      <c r="B10" s="1" t="s">
        <v>14</v>
      </c>
      <c r="C10" t="s">
        <v>15</v>
      </c>
    </row>
    <row r="11" spans="1:4" ht="30" customHeight="1" x14ac:dyDescent="0.35">
      <c r="A11">
        <v>80</v>
      </c>
      <c r="B11" s="1" t="s">
        <v>16</v>
      </c>
      <c r="C11" t="s">
        <v>17</v>
      </c>
    </row>
    <row r="12" spans="1:4" ht="30" customHeight="1" x14ac:dyDescent="0.35">
      <c r="A12">
        <v>90</v>
      </c>
      <c r="B12" s="1" t="s">
        <v>18</v>
      </c>
      <c r="C12" t="s">
        <v>19</v>
      </c>
    </row>
    <row r="13" spans="1:4" ht="30" customHeight="1" x14ac:dyDescent="0.35">
      <c r="A13">
        <v>100</v>
      </c>
      <c r="B13" s="1" t="s">
        <v>20</v>
      </c>
      <c r="C13" t="s">
        <v>21</v>
      </c>
    </row>
    <row r="14" spans="1:4" ht="30" customHeight="1" x14ac:dyDescent="0.35">
      <c r="A14">
        <v>110</v>
      </c>
      <c r="B14" s="1" t="s">
        <v>22</v>
      </c>
      <c r="C14" t="s">
        <v>23</v>
      </c>
    </row>
    <row r="15" spans="1:4" ht="30" customHeight="1" x14ac:dyDescent="0.35">
      <c r="A15">
        <v>120</v>
      </c>
      <c r="B15" s="1" t="s">
        <v>24</v>
      </c>
      <c r="C15" t="s">
        <v>25</v>
      </c>
    </row>
    <row r="16" spans="1:4" ht="30" customHeight="1" x14ac:dyDescent="0.35">
      <c r="A16">
        <v>130</v>
      </c>
      <c r="B16" s="1" t="s">
        <v>26</v>
      </c>
      <c r="C16" t="s">
        <v>27</v>
      </c>
    </row>
    <row r="17" spans="1:4" ht="30" customHeight="1" x14ac:dyDescent="0.35">
      <c r="A17">
        <v>140</v>
      </c>
      <c r="B17" s="1" t="s">
        <v>28</v>
      </c>
      <c r="C17" t="s">
        <v>29</v>
      </c>
    </row>
    <row r="18" spans="1:4" ht="30" customHeight="1" x14ac:dyDescent="0.35">
      <c r="A18">
        <v>150</v>
      </c>
      <c r="B18" s="1" t="s">
        <v>30</v>
      </c>
      <c r="C18" t="s">
        <v>31</v>
      </c>
    </row>
    <row r="19" spans="1:4" ht="30" customHeight="1" x14ac:dyDescent="0.35">
      <c r="A19">
        <v>160</v>
      </c>
      <c r="B19" s="1" t="s">
        <v>32</v>
      </c>
      <c r="C19" t="s">
        <v>33</v>
      </c>
    </row>
    <row r="20" spans="1:4" ht="30" customHeight="1" x14ac:dyDescent="0.35">
      <c r="A20">
        <v>170</v>
      </c>
      <c r="B20" s="1" t="s">
        <v>34</v>
      </c>
      <c r="C20" t="s">
        <v>35</v>
      </c>
    </row>
    <row r="21" spans="1:4" ht="30" customHeight="1" x14ac:dyDescent="0.35">
      <c r="A21">
        <v>180</v>
      </c>
      <c r="B21" s="1" t="s">
        <v>36</v>
      </c>
      <c r="C21" t="s">
        <v>37</v>
      </c>
      <c r="D21" t="s">
        <v>46</v>
      </c>
    </row>
    <row r="22" spans="1:4" ht="30" customHeight="1" x14ac:dyDescent="0.35">
      <c r="A22">
        <v>190</v>
      </c>
      <c r="B22" s="1" t="s">
        <v>38</v>
      </c>
      <c r="C22" t="s">
        <v>39</v>
      </c>
    </row>
    <row r="23" spans="1:4" ht="30" customHeight="1" x14ac:dyDescent="0.35">
      <c r="A23">
        <v>200</v>
      </c>
      <c r="B23" s="1" t="s">
        <v>40</v>
      </c>
      <c r="C23" t="s">
        <v>41</v>
      </c>
    </row>
    <row r="24" spans="1:4" ht="30" customHeight="1" x14ac:dyDescent="0.35">
      <c r="A24">
        <v>210</v>
      </c>
      <c r="B24" s="1" t="s">
        <v>42</v>
      </c>
      <c r="C24" t="s">
        <v>43</v>
      </c>
    </row>
    <row r="25" spans="1:4" ht="30" customHeight="1" x14ac:dyDescent="0.35">
      <c r="A25">
        <v>220</v>
      </c>
      <c r="B25" s="1" t="s">
        <v>71</v>
      </c>
      <c r="C25" t="s">
        <v>70</v>
      </c>
    </row>
    <row r="26" spans="1:4" ht="30" customHeight="1" x14ac:dyDescent="0.35">
      <c r="A26">
        <v>230</v>
      </c>
      <c r="B26" s="1" t="s">
        <v>90</v>
      </c>
      <c r="C26" t="s">
        <v>91</v>
      </c>
    </row>
    <row r="27" spans="1:4" ht="30" customHeight="1" x14ac:dyDescent="0.35">
      <c r="A27">
        <v>240</v>
      </c>
      <c r="B27" s="1" t="s">
        <v>92</v>
      </c>
      <c r="C27" t="s">
        <v>93</v>
      </c>
    </row>
    <row r="28" spans="1:4" ht="30" customHeight="1" x14ac:dyDescent="0.35">
      <c r="A28">
        <v>250</v>
      </c>
      <c r="B28" s="1" t="s">
        <v>94</v>
      </c>
      <c r="C28" t="s">
        <v>95</v>
      </c>
    </row>
    <row r="29" spans="1:4" ht="30" customHeight="1" x14ac:dyDescent="0.35">
      <c r="A29">
        <v>260</v>
      </c>
      <c r="B29" s="1" t="s">
        <v>72</v>
      </c>
      <c r="C29" t="s">
        <v>73</v>
      </c>
    </row>
    <row r="30" spans="1:4" ht="30" customHeight="1" x14ac:dyDescent="0.35">
      <c r="A30">
        <v>270</v>
      </c>
      <c r="B30" s="1" t="s">
        <v>74</v>
      </c>
      <c r="C30" t="s">
        <v>75</v>
      </c>
    </row>
    <row r="31" spans="1:4" ht="30" customHeight="1" x14ac:dyDescent="0.35">
      <c r="A31">
        <v>280</v>
      </c>
      <c r="B31" s="1" t="s">
        <v>76</v>
      </c>
      <c r="C31" t="s">
        <v>77</v>
      </c>
    </row>
    <row r="32" spans="1:4" ht="30" customHeight="1" x14ac:dyDescent="0.35">
      <c r="A32">
        <v>290</v>
      </c>
      <c r="B32" s="1" t="s">
        <v>78</v>
      </c>
      <c r="C32" t="s">
        <v>79</v>
      </c>
    </row>
    <row r="33" spans="1:3" ht="30" customHeight="1" x14ac:dyDescent="0.35">
      <c r="A33">
        <v>300</v>
      </c>
      <c r="B33" s="1" t="s">
        <v>80</v>
      </c>
      <c r="C33" t="s">
        <v>81</v>
      </c>
    </row>
    <row r="34" spans="1:3" ht="30" customHeight="1" x14ac:dyDescent="0.35">
      <c r="A34">
        <v>310</v>
      </c>
      <c r="B34" s="1" t="s">
        <v>82</v>
      </c>
      <c r="C34" t="s">
        <v>85</v>
      </c>
    </row>
    <row r="35" spans="1:3" ht="30" customHeight="1" x14ac:dyDescent="0.35">
      <c r="A35">
        <v>320</v>
      </c>
      <c r="B35" s="1" t="s">
        <v>83</v>
      </c>
      <c r="C35" t="s">
        <v>86</v>
      </c>
    </row>
    <row r="36" spans="1:3" ht="30" customHeight="1" x14ac:dyDescent="0.35">
      <c r="A36">
        <v>330</v>
      </c>
      <c r="B36" s="1" t="s">
        <v>84</v>
      </c>
      <c r="C36" t="s">
        <v>87</v>
      </c>
    </row>
    <row r="37" spans="1:3" ht="30" customHeight="1" x14ac:dyDescent="0.35">
      <c r="A37">
        <v>340</v>
      </c>
      <c r="B37" s="1" t="s">
        <v>88</v>
      </c>
      <c r="C37" t="s">
        <v>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5608-9604-4C3E-8687-0D0D80756A71}">
  <dimension ref="A1:B12"/>
  <sheetViews>
    <sheetView workbookViewId="0">
      <selection activeCell="B20" sqref="B20"/>
    </sheetView>
  </sheetViews>
  <sheetFormatPr defaultRowHeight="30" customHeight="1" x14ac:dyDescent="0.35"/>
  <cols>
    <col min="1" max="1" width="14" customWidth="1"/>
    <col min="2" max="2" width="58.54296875" customWidth="1"/>
  </cols>
  <sheetData>
    <row r="1" spans="1:2" ht="30" customHeight="1" x14ac:dyDescent="0.35">
      <c r="A1" t="s">
        <v>47</v>
      </c>
      <c r="B1" t="s">
        <v>48</v>
      </c>
    </row>
    <row r="3" spans="1:2" ht="30" customHeight="1" x14ac:dyDescent="0.35">
      <c r="A3">
        <v>0</v>
      </c>
      <c r="B3" t="s">
        <v>108</v>
      </c>
    </row>
    <row r="4" spans="1:2" ht="30" customHeight="1" x14ac:dyDescent="0.35">
      <c r="A4">
        <v>1</v>
      </c>
      <c r="B4" t="s">
        <v>50</v>
      </c>
    </row>
    <row r="5" spans="1:2" ht="30" customHeight="1" x14ac:dyDescent="0.35">
      <c r="A5">
        <v>2</v>
      </c>
      <c r="B5" t="s">
        <v>51</v>
      </c>
    </row>
    <row r="6" spans="1:2" ht="30" customHeight="1" x14ac:dyDescent="0.35">
      <c r="A6">
        <v>3</v>
      </c>
      <c r="B6" t="s">
        <v>52</v>
      </c>
    </row>
    <row r="7" spans="1:2" ht="30" customHeight="1" x14ac:dyDescent="0.35">
      <c r="A7">
        <v>4</v>
      </c>
      <c r="B7" t="s">
        <v>53</v>
      </c>
    </row>
    <row r="8" spans="1:2" ht="30" customHeight="1" x14ac:dyDescent="0.35">
      <c r="A8">
        <v>5</v>
      </c>
      <c r="B8" t="s">
        <v>54</v>
      </c>
    </row>
    <row r="9" spans="1:2" ht="30" customHeight="1" x14ac:dyDescent="0.35">
      <c r="A9">
        <v>6</v>
      </c>
      <c r="B9" t="s">
        <v>55</v>
      </c>
    </row>
    <row r="10" spans="1:2" ht="30" customHeight="1" x14ac:dyDescent="0.35">
      <c r="A10">
        <v>7</v>
      </c>
      <c r="B10" t="s">
        <v>56</v>
      </c>
    </row>
    <row r="11" spans="1:2" ht="30" customHeight="1" x14ac:dyDescent="0.35">
      <c r="A11">
        <v>8</v>
      </c>
      <c r="B11" t="s">
        <v>56</v>
      </c>
    </row>
    <row r="12" spans="1:2" ht="30" customHeight="1" x14ac:dyDescent="0.35">
      <c r="A12">
        <v>9</v>
      </c>
      <c r="B12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9749-05B0-45D7-BEDB-0793ED94B5F2}">
  <dimension ref="A1:B12"/>
  <sheetViews>
    <sheetView workbookViewId="0">
      <selection activeCell="A2" sqref="A2:XFD2"/>
    </sheetView>
  </sheetViews>
  <sheetFormatPr defaultColWidth="60.36328125" defaultRowHeight="30" customHeight="1" x14ac:dyDescent="0.35"/>
  <cols>
    <col min="1" max="1" width="10.81640625" customWidth="1"/>
  </cols>
  <sheetData>
    <row r="1" spans="1:2" ht="30" customHeight="1" x14ac:dyDescent="0.35">
      <c r="A1" t="s">
        <v>48</v>
      </c>
      <c r="B1" t="s">
        <v>49</v>
      </c>
    </row>
    <row r="3" spans="1:2" ht="30" customHeight="1" x14ac:dyDescent="0.35">
      <c r="A3">
        <v>1</v>
      </c>
      <c r="B3" t="s">
        <v>58</v>
      </c>
    </row>
    <row r="4" spans="1:2" ht="30" customHeight="1" x14ac:dyDescent="0.35">
      <c r="A4">
        <v>2</v>
      </c>
      <c r="B4" t="s">
        <v>59</v>
      </c>
    </row>
    <row r="5" spans="1:2" ht="30" customHeight="1" x14ac:dyDescent="0.35">
      <c r="A5">
        <v>3</v>
      </c>
      <c r="B5" t="s">
        <v>60</v>
      </c>
    </row>
    <row r="6" spans="1:2" ht="30" customHeight="1" x14ac:dyDescent="0.35">
      <c r="A6">
        <v>4</v>
      </c>
      <c r="B6" t="s">
        <v>61</v>
      </c>
    </row>
    <row r="7" spans="1:2" ht="30" customHeight="1" x14ac:dyDescent="0.35">
      <c r="A7">
        <v>5</v>
      </c>
      <c r="B7" t="s">
        <v>62</v>
      </c>
    </row>
    <row r="8" spans="1:2" ht="30" customHeight="1" x14ac:dyDescent="0.35">
      <c r="A8">
        <v>6</v>
      </c>
      <c r="B8" t="s">
        <v>63</v>
      </c>
    </row>
    <row r="9" spans="1:2" ht="30" customHeight="1" x14ac:dyDescent="0.35">
      <c r="A9">
        <v>7</v>
      </c>
      <c r="B9" t="s">
        <v>64</v>
      </c>
    </row>
    <row r="10" spans="1:2" ht="30" customHeight="1" x14ac:dyDescent="0.35">
      <c r="A10">
        <v>8</v>
      </c>
      <c r="B10" t="s">
        <v>65</v>
      </c>
    </row>
    <row r="11" spans="1:2" ht="30" customHeight="1" x14ac:dyDescent="0.35">
      <c r="A11">
        <v>9</v>
      </c>
      <c r="B11" t="s">
        <v>66</v>
      </c>
    </row>
    <row r="12" spans="1:2" ht="30" customHeight="1" x14ac:dyDescent="0.35">
      <c r="A12">
        <v>10</v>
      </c>
      <c r="B12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Names and Numbers</vt:lpstr>
      <vt:lpstr>Discipline Designators</vt:lpstr>
      <vt:lpstr>Sheet Types</vt:lpstr>
      <vt:lpstr>Sequence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Rabindra Adhikari</dc:creator>
  <cp:lastModifiedBy>Rabindra Adhikari</cp:lastModifiedBy>
  <dcterms:created xsi:type="dcterms:W3CDTF">2022-12-23T19:11:47Z</dcterms:created>
  <dcterms:modified xsi:type="dcterms:W3CDTF">2026-01-18T07:32:46Z</dcterms:modified>
</cp:coreProperties>
</file>